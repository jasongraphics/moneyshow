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charts/style2.xml" ContentType="application/vnd.ms-office.chartstyle+xml"/>
  <Override PartName="/xl/charts/chart32.xml" ContentType="application/vnd.openxmlformats-officedocument.drawingml.chart+xml"/>
  <Override PartName="/xl/charts/style40.xml" ContentType="application/vnd.ms-office.chartstyle+xml"/>
  <Override PartName="/xl/charts/chart38.xml" ContentType="application/vnd.openxmlformats-officedocument.drawingml.chart+xml"/>
  <Override PartName="/xl/charts/style16.xml" ContentType="application/vnd.ms-office.chartstyle+xml"/>
  <Override PartName="/xl/charts/chart3.xml" ContentType="application/vnd.openxmlformats-officedocument.drawingml.chart+xml"/>
  <Override PartName="/xl/charts/chart9.xml" ContentType="application/vnd.openxmlformats-officedocument.drawingml.chart+xml"/>
  <Override PartName="/xl/charts/style9.xml" ContentType="application/vnd.ms-office.chartstyle+xml"/>
  <Override PartName="/xl/charts/style14.xml" ContentType="application/vnd.ms-office.chartstyle+xml"/>
  <Override PartName="/xl/charts/style13.xml" ContentType="application/vnd.ms-office.chartstyle+xml"/>
  <Override PartName="/xl/charts/chart28.xml" ContentType="application/vnd.openxmlformats-officedocument.drawingml.chart+xml"/>
  <Override PartName="/xl/charts/colors3.xml" ContentType="application/vnd.ms-office.chartcolorstyle+xml"/>
  <Override PartName="/xl/charts/chart21.xml" ContentType="application/vnd.openxmlformats-officedocument.drawingml.chart+xml"/>
  <Override PartName="/xl/charts/colors11.xml" ContentType="application/vnd.ms-office.chartcolorstyle+xml"/>
  <Override PartName="/xl/charts/style15.xml" ContentType="application/vnd.ms-office.chartstyle+xml"/>
  <Override PartName="/xl/charts/colors40.xml" ContentType="application/vnd.ms-office.chartcolorstyle+xml"/>
  <Override PartName="/xl/charts/colors30.xml" ContentType="application/vnd.ms-office.chartcolorstyle+xml"/>
  <Override PartName="/xl/charts/colors27.xml" ContentType="application/vnd.ms-office.chartcolorstyle+xml"/>
  <Override PartName="/xl/charts/style21.xml" ContentType="application/vnd.ms-office.chartstyle+xml"/>
  <Override PartName="/xl/charts/chart43.xml" ContentType="application/vnd.openxmlformats-officedocument.drawingml.chart+xml"/>
  <Override PartName="/xl/charts/style12.xml" ContentType="application/vnd.ms-office.chartstyle+xml"/>
  <Override PartName="/xl/charts/style22.xml" ContentType="application/vnd.ms-office.chartstyle+xml"/>
  <Override PartName="/xl/charts/chart19.xml" ContentType="application/vnd.openxmlformats-officedocument.drawingml.chart+xml"/>
  <Override PartName="/xl/charts/style30.xml" ContentType="application/vnd.ms-office.chartstyle+xml"/>
  <Override PartName="/xl/charts/colors13.xml" ContentType="application/vnd.ms-office.chartcolorstyle+xml"/>
  <Override PartName="/xl/charts/colors18.xml" ContentType="application/vnd.ms-office.chartcolorstyle+xml"/>
  <Override PartName="/xl/charts/chart35.xml" ContentType="application/vnd.openxmlformats-officedocument.drawingml.chart+xml"/>
  <Override PartName="/xl/charts/style11.xml" ContentType="application/vnd.ms-office.chartstyle+xml"/>
  <Override PartName="/xl/charts/chart42.xml" ContentType="application/vnd.openxmlformats-officedocument.drawingml.chart+xml"/>
  <Override PartName="/xl/charts/style36.xml" ContentType="application/vnd.ms-office.chart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1.xml" ContentType="application/vnd.openxmlformats-officedocument.drawingml.chart+xml"/>
  <Override PartName="/xl/charts/chart4.xml" ContentType="application/vnd.openxmlformats-officedocument.drawingml.chart+xml"/>
  <Override PartName="/xl/charts/colors37.xml" ContentType="application/vnd.ms-office.chartcolorstyle+xml"/>
  <Override PartName="/xl/charts/colors19.xml" ContentType="application/vnd.ms-office.chartcolorstyle+xml"/>
  <Override PartName="/xl/charts/chart29.xml" ContentType="application/vnd.openxmlformats-officedocument.drawingml.chart+xml"/>
  <Override PartName="/xl/charts/style8.xml" ContentType="application/vnd.ms-office.chartstyle+xml"/>
  <Override PartName="/xl/charts/style20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39.xml" ContentType="application/vnd.ms-office.chartstyle+xml"/>
  <Override PartName="/xl/charts/chart39.xml" ContentType="application/vnd.openxmlformats-officedocument.drawingml.chart+xml"/>
  <Override PartName="/xl/charts/chart2.xml" ContentType="application/vnd.openxmlformats-officedocument.drawingml.chart+xml"/>
  <Override PartName="/xl/charts/colors43.xml" ContentType="application/vnd.ms-office.chartcolorstyle+xml"/>
  <Override PartName="/xl/charts/style1.xml" ContentType="application/vnd.ms-office.chartstyle+xml"/>
  <Override PartName="/xl/charts/colors24.xml" ContentType="application/vnd.ms-office.chartcolorstyle+xml"/>
  <Override PartName="/xl/charts/chart44.xml" ContentType="application/vnd.openxmlformats-officedocument.drawingml.chart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23.xml" ContentType="application/vnd.ms-office.chartstyle+xml"/>
  <Override PartName="/xl/charts/colors45.xml" ContentType="application/vnd.ms-office.chartcolor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45.xml" ContentType="application/vnd.openxmlformats-officedocument.drawingml.chart+xml"/>
  <Override PartName="/xl/charts/style3.xml" ContentType="application/vnd.ms-office.chartstyle+xml"/>
  <Override PartName="/xl/charts/chart40.xml" ContentType="application/vnd.openxmlformats-officedocument.drawingml.chart+xml"/>
  <Override PartName="/xl/charts/style33.xml" ContentType="application/vnd.ms-office.chartstyle+xml"/>
  <Override PartName="/xl/charts/style45.xml" ContentType="application/vnd.ms-office.chartstyle+xml"/>
  <Override PartName="/xl/charts/style27.xml" ContentType="application/vnd.ms-office.chartstyle+xml"/>
  <Override PartName="/xl/charts/chart25.xml" ContentType="application/vnd.openxmlformats-officedocument.drawingml.chart+xml"/>
  <Override PartName="/xl/charts/chart36.xml" ContentType="application/vnd.openxmlformats-officedocument.drawingml.chart+xml"/>
  <Override PartName="/xl/charts/style25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colors15.xml" ContentType="application/vnd.ms-office.chartcolorstyle+xml"/>
  <Override PartName="/xl/charts/colors10.xml" ContentType="application/vnd.ms-office.chartcolorstyle+xml"/>
  <Override PartName="/xl/charts/chart34.xml" ContentType="application/vnd.openxmlformats-officedocument.drawingml.chart+xml"/>
  <Override PartName="/xl/charts/style10.xml" ContentType="application/vnd.ms-office.chartstyle+xml"/>
  <Override PartName="/xl/charts/colors14.xml" ContentType="application/vnd.ms-office.chartcolorstyle+xml"/>
  <Override PartName="/xl/charts/style43.xml" ContentType="application/vnd.ms-office.chartstyle+xml"/>
  <Override PartName="/xl/charts/colors16.xml" ContentType="application/vnd.ms-office.chartcolorstyle+xml"/>
  <Override PartName="/xl/charts/style18.xml" ContentType="application/vnd.ms-office.chartstyle+xml"/>
  <Override PartName="/xl/charts/chart41.xml" ContentType="application/vnd.openxmlformats-officedocument.drawingml.chart+xml"/>
  <Override PartName="/xl/charts/chart33.xml" ContentType="application/vnd.openxmlformats-officedocument.drawingml.chart+xml"/>
  <Override PartName="/xl/charts/chart26.xml" ContentType="application/vnd.openxmlformats-officedocument.drawingml.chart+xml"/>
  <Override PartName="/xl/charts/chart15.xml" ContentType="application/vnd.openxmlformats-officedocument.drawingml.chart+xml"/>
  <Override PartName="/xl/charts/chart20.xml" ContentType="application/vnd.openxmlformats-officedocument.drawingml.chart+xml"/>
  <Override PartName="/xl/charts/style24.xml" ContentType="application/vnd.ms-office.chartstyle+xml"/>
  <Override PartName="/xl/charts/chart5.xml" ContentType="application/vnd.openxmlformats-officedocument.drawingml.chart+xml"/>
  <Override PartName="/xl/charts/style28.xml" ContentType="application/vnd.ms-office.chartstyle+xml"/>
  <Override PartName="/xl/charts/colors7.xml" ContentType="application/vnd.ms-office.chartcolorstyle+xml"/>
  <Override PartName="/xl/charts/chart37.xml" ContentType="application/vnd.openxmlformats-officedocument.drawingml.chart+xml"/>
  <Override PartName="/xl/charts/colors38.xml" ContentType="application/vnd.ms-office.chartcolorstyle+xml"/>
  <Override PartName="/xl/charts/colors1.xml" ContentType="application/vnd.ms-office.chartcolorstyle+xml"/>
  <Override PartName="/xl/charts/style29.xml" ContentType="application/vnd.ms-office.chartstyle+xml"/>
  <Override PartName="/xl/charts/colors36.xml" ContentType="application/vnd.ms-office.chartcolorstyle+xml"/>
  <Override PartName="/xl/charts/style4.xml" ContentType="application/vnd.ms-office.chartstyle+xml"/>
  <Override PartName="/xl/charts/chart1.xml" ContentType="application/vnd.openxmlformats-officedocument.drawingml.chart+xml"/>
  <Override PartName="/xl/charts/style38.xml" ContentType="application/vnd.ms-office.chartstyle+xml"/>
  <Override PartName="/xl/charts/style41.xml" ContentType="application/vnd.ms-office.chartstyle+xml"/>
  <Override PartName="/xl/charts/chart31.xml" ContentType="application/vnd.openxmlformats-officedocument.drawingml.chart+xml"/>
  <Override PartName="/xl/charts/style42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44.xml" ContentType="application/vnd.ms-office.chartcolorstyle+xml"/>
  <Override PartName="/xl/charts/colors26.xml" ContentType="application/vnd.ms-office.chartcolorstyle+xml"/>
  <Override PartName="/xl/charts/colors22.xml" ContentType="application/vnd.ms-office.chartcolorstyle+xml"/>
  <Override PartName="/xl/charts/style6.xml" ContentType="application/vnd.ms-office.chartstyle+xml"/>
  <Override PartName="/xl/charts/style37.xml" ContentType="application/vnd.ms-office.chartstyle+xml"/>
  <Override PartName="/xl/charts/colors34.xml" ContentType="application/vnd.ms-office.chartcolorstyle+xml"/>
  <Override PartName="/xl/charts/colors6.xml" ContentType="application/vnd.ms-office.chartcolorstyle+xml"/>
  <Override PartName="/xl/charts/style7.xml" ContentType="application/vnd.ms-office.chartstyle+xml"/>
  <Override PartName="/xl/charts/chart8.xml" ContentType="application/vnd.openxmlformats-officedocument.drawingml.chart+xml"/>
  <Override PartName="/xl/charts/colors33.xml" ContentType="application/vnd.ms-office.chartcolorstyle+xml"/>
  <Override PartName="/xl/charts/colors35.xml" ContentType="application/vnd.ms-office.chartcolorstyle+xml"/>
  <Override PartName="/xl/charts/colors39.xml" ContentType="application/vnd.ms-office.chartcolorstyle+xml"/>
  <Override PartName="/xl/charts/chart10.xml" ContentType="application/vnd.openxmlformats-officedocument.drawingml.chart+xml"/>
  <Override PartName="/xl/charts/colors2.xml" ContentType="application/vnd.ms-office.chartcolorstyle+xml"/>
  <Override PartName="/xl/charts/chart12.xml" ContentType="application/vnd.openxmlformats-officedocument.drawingml.chart+xml"/>
  <Override PartName="/xl/charts/colors41.xml" ContentType="application/vnd.ms-office.chartcolorstyle+xml"/>
  <Override PartName="/xl/charts/style19.xml" ContentType="application/vnd.ms-office.chartstyle+xml"/>
  <Override PartName="/xl/charts/colors31.xml" ContentType="application/vnd.ms-office.chartcolorstyle+xml"/>
  <Override PartName="/xl/charts/colors8.xml" ContentType="application/vnd.ms-office.chartcolorstyle+xml"/>
  <Override PartName="/xl/charts/style44.xml" ContentType="application/vnd.ms-office.chartstyle+xml"/>
  <Override PartName="/xl/charts/colors32.xml" ContentType="application/vnd.ms-office.chartcolor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35.xml" ContentType="application/vnd.ms-office.chartstyle+xml"/>
  <Override PartName="/xl/charts/colors21.xml" ContentType="application/vnd.ms-office.chartcolorstyle+xml"/>
  <Override PartName="/xl/charts/style31.xml" ContentType="application/vnd.ms-office.chart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23.xml" ContentType="application/vnd.ms-office.chartcolorstyle+xml"/>
  <Override PartName="/xl/charts/style32.xml" ContentType="application/vnd.ms-office.chartstyle+xml"/>
  <Override PartName="/xl/charts/chart24.xml" ContentType="application/vnd.openxmlformats-officedocument.drawingml.chart+xml"/>
  <Override PartName="/xl/charts/style34.xml" ContentType="application/vnd.ms-office.chartstyle+xml"/>
  <Override PartName="/xl/charts/colors25.xml" ContentType="application/vnd.ms-office.chartcolorstyle+xml"/>
  <Override PartName="/xl/charts/chart7.xml" ContentType="application/vnd.openxmlformats-officedocument.drawingml.chart+xml"/>
  <Override PartName="/xl/charts/chart27.xml" ContentType="application/vnd.openxmlformats-officedocument.drawingml.chart+xml"/>
  <Override PartName="/xl/charts/colors28.xml" ContentType="application/vnd.ms-office.chartcolorstyle+xml"/>
  <Override PartName="/xl/charts/colors42.xml" ContentType="application/vnd.ms-office.chartcolorstyle+xml"/>
  <Override PartName="/xl/charts/style26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하기" sheetId="1" state="visible" r:id="rId3"/>
    <sheet name="설정" sheetId="2" state="visible" r:id="rId4"/>
    <sheet name="연간 대시보드" sheetId="3" state="visible" r:id="rId5"/>
    <sheet name="1월" sheetId="4" state="visible" r:id="rId6"/>
    <sheet name="2월" sheetId="5" state="visible" r:id="rId7"/>
    <sheet name="3월" sheetId="6" state="visible" r:id="rId8"/>
    <sheet name="4월" sheetId="7" state="visible" r:id="rId9"/>
    <sheet name="5월" sheetId="8" state="visible" r:id="rId10"/>
    <sheet name="6월" sheetId="9" state="visible" r:id="rId11"/>
    <sheet name="7월" sheetId="10" state="visible" r:id="rId12"/>
    <sheet name="8월" sheetId="11" state="visible" r:id="rId13"/>
    <sheet name="9월" sheetId="12" state="visible" r:id="rId14"/>
    <sheet name="10월" sheetId="13" state="visible" r:id="rId15"/>
    <sheet name="11월" sheetId="14" state="visible" r:id="rId16"/>
    <sheet name="12월" sheetId="15" state="visible" r:id="rId17"/>
    <sheet name="카테고리 개요" sheetId="16" state="visible" r:id="rId18"/>
    <sheet name="저축 목표" sheetId="17" state="visible" r:id="rId19"/>
    <sheet name="순자산" sheetId="18" state="visible" r:id="rId20"/>
    <sheet name="고정지출·구독" sheetId="19" state="visible" r:id="rId21"/>
  </sheets>
  <definedNames>
    <definedName function="false" hidden="false" name="분류목록" vbProcedure="false">설정!$B$31:$B$45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<sst xmlns="http://schemas.openxmlformats.org/spreadsheetml/2006/main" count="928" uniqueCount="266">
  <si>
    <r>
      <rPr>
        <b val="true"/>
        <sz val="22"/>
        <color rgb="FF0E7A52"/>
        <rFont val="Noto Sans CJK SC"/>
        <family val="2"/>
      </rPr>
      <t xml:space="preserve">제이슨의 머니쇼 가계부 </t>
    </r>
    <r>
      <rPr>
        <b val="true"/>
        <sz val="22"/>
        <color rgb="FF0E7A52"/>
        <rFont val="Arial"/>
        <family val="0"/>
        <charset val="1"/>
      </rPr>
      <t xml:space="preserve">2026</t>
    </r>
  </si>
  <si>
    <r>
      <rPr>
        <sz val="11"/>
        <color rgb="FF55605B"/>
        <rFont val="Noto Sans CJK SC"/>
        <family val="2"/>
      </rPr>
      <t xml:space="preserve">흔들리지 않는 돈 관리는</t>
    </r>
    <r>
      <rPr>
        <sz val="11"/>
        <color rgb="FF55605B"/>
        <rFont val="Arial"/>
        <family val="0"/>
        <charset val="1"/>
      </rPr>
      <t xml:space="preserve">, </t>
    </r>
    <r>
      <rPr>
        <sz val="11"/>
        <color rgb="FF55605B"/>
        <rFont val="Noto Sans CJK SC"/>
        <family val="2"/>
      </rPr>
      <t xml:space="preserve">내 돈이 어디로 가는지 아는 것에서 시작합니다</t>
    </r>
    <r>
      <rPr>
        <sz val="11"/>
        <color rgb="FF55605B"/>
        <rFont val="Arial"/>
        <family val="0"/>
        <charset val="1"/>
      </rPr>
      <t xml:space="preserve">.</t>
    </r>
  </si>
  <si>
    <r>
      <rPr>
        <b val="true"/>
        <sz val="11"/>
        <color rgb="FF0B5C3E"/>
        <rFont val="Arial"/>
        <family val="0"/>
        <charset val="1"/>
      </rPr>
      <t xml:space="preserve">STEP 1 · </t>
    </r>
    <r>
      <rPr>
        <b val="true"/>
        <sz val="11"/>
        <color rgb="FF0B5C3E"/>
        <rFont val="Noto Sans CJK SC"/>
        <family val="2"/>
      </rPr>
      <t xml:space="preserve">설정</t>
    </r>
  </si>
  <si>
    <r>
      <rPr>
        <sz val="10.5"/>
        <color rgb="FF1B1915"/>
        <rFont val="Noto Sans CJK SC"/>
        <family val="2"/>
      </rPr>
      <t xml:space="preserve">‘설정’ 시트에서 수입원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고정지출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지출 카테고리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저축 목표의 이름과 금액을 적어요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한 번만 적으면 </t>
    </r>
    <r>
      <rPr>
        <sz val="10.5"/>
        <color rgb="FF1B1915"/>
        <rFont val="Arial"/>
        <family val="0"/>
        <charset val="1"/>
      </rPr>
      <t xml:space="preserve">12</t>
    </r>
    <r>
      <rPr>
        <sz val="10.5"/>
        <color rgb="FF1B1915"/>
        <rFont val="Noto Sans CJK SC"/>
        <family val="2"/>
      </rPr>
      <t xml:space="preserve">개월 시트에 자동 반영됩니다</t>
    </r>
    <r>
      <rPr>
        <sz val="10.5"/>
        <color rgb="FF1B1915"/>
        <rFont val="Arial"/>
        <family val="0"/>
        <charset val="1"/>
      </rPr>
      <t xml:space="preserve">.</t>
    </r>
  </si>
  <si>
    <r>
      <rPr>
        <b val="true"/>
        <sz val="11"/>
        <color rgb="FF0B5C3E"/>
        <rFont val="Arial"/>
        <family val="0"/>
        <charset val="1"/>
      </rPr>
      <t xml:space="preserve">STEP 2 · </t>
    </r>
    <r>
      <rPr>
        <b val="true"/>
        <sz val="11"/>
        <color rgb="FF0B5C3E"/>
        <rFont val="Noto Sans CJK SC"/>
        <family val="2"/>
      </rPr>
      <t xml:space="preserve">매달 기록</t>
    </r>
  </si>
  <si>
    <r>
      <rPr>
        <sz val="10.5"/>
        <color rgb="FF1B1915"/>
        <rFont val="Noto Sans CJK SC"/>
        <family val="2"/>
      </rPr>
      <t xml:space="preserve">각 ‘월’ 시트의 ‘변동지출 기록’에 날짜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분류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금액만 적으면 돼요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분류 칸을 누르면 목록에서 고를 수 있어요</t>
    </r>
    <r>
      <rPr>
        <sz val="10.5"/>
        <color rgb="FF1B1915"/>
        <rFont val="Arial"/>
        <family val="0"/>
        <charset val="1"/>
      </rPr>
      <t xml:space="preserve">.</t>
    </r>
  </si>
  <si>
    <r>
      <rPr>
        <b val="true"/>
        <sz val="11"/>
        <color rgb="FF0B5C3E"/>
        <rFont val="Arial"/>
        <family val="0"/>
        <charset val="1"/>
      </rPr>
      <t xml:space="preserve">STEP 3 · </t>
    </r>
    <r>
      <rPr>
        <b val="true"/>
        <sz val="11"/>
        <color rgb="FF0B5C3E"/>
        <rFont val="Noto Sans CJK SC"/>
        <family val="2"/>
      </rPr>
      <t xml:space="preserve">한눈에 보기</t>
    </r>
  </si>
  <si>
    <r>
      <rPr>
        <sz val="10.5"/>
        <color rgb="FF1B1915"/>
        <rFont val="Noto Sans CJK SC"/>
        <family val="2"/>
      </rPr>
      <t xml:space="preserve">‘이번 달 한눈에’</t>
    </r>
    <r>
      <rPr>
        <sz val="10.5"/>
        <color rgb="FF1B1915"/>
        <rFont val="Arial"/>
        <family val="0"/>
        <charset val="1"/>
      </rPr>
      <t xml:space="preserve">·‘</t>
    </r>
    <r>
      <rPr>
        <sz val="10.5"/>
        <color rgb="FF1B1915"/>
        <rFont val="Noto Sans CJK SC"/>
        <family val="2"/>
      </rPr>
      <t xml:space="preserve">카테고리별 예산 </t>
    </r>
    <r>
      <rPr>
        <sz val="10.5"/>
        <color rgb="FF1B1915"/>
        <rFont val="Arial"/>
        <family val="0"/>
        <charset val="1"/>
      </rPr>
      <t xml:space="preserve">vs </t>
    </r>
    <r>
      <rPr>
        <sz val="10.5"/>
        <color rgb="FF1B1915"/>
        <rFont val="Noto Sans CJK SC"/>
        <family val="2"/>
      </rPr>
      <t xml:space="preserve">사용’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차트가 자동으로 계산됩니다</t>
    </r>
    <r>
      <rPr>
        <sz val="10.5"/>
        <color rgb="FF1B1915"/>
        <rFont val="Arial"/>
        <family val="0"/>
        <charset val="1"/>
      </rPr>
      <t xml:space="preserve">. ‘</t>
    </r>
    <r>
      <rPr>
        <sz val="10.5"/>
        <color rgb="FF1B1915"/>
        <rFont val="Noto Sans CJK SC"/>
        <family val="2"/>
      </rPr>
      <t xml:space="preserve">연간 대시보드’에서 </t>
    </r>
    <r>
      <rPr>
        <sz val="10.5"/>
        <color rgb="FF1B1915"/>
        <rFont val="Arial"/>
        <family val="0"/>
        <charset val="1"/>
      </rPr>
      <t xml:space="preserve">1</t>
    </r>
    <r>
      <rPr>
        <sz val="10.5"/>
        <color rgb="FF1B1915"/>
        <rFont val="Noto Sans CJK SC"/>
        <family val="2"/>
      </rPr>
      <t xml:space="preserve">년 흐름을 봅니다</t>
    </r>
    <r>
      <rPr>
        <sz val="10.5"/>
        <color rgb="FF1B1915"/>
        <rFont val="Arial"/>
        <family val="0"/>
        <charset val="1"/>
      </rPr>
      <t xml:space="preserve">.</t>
    </r>
  </si>
  <si>
    <t xml:space="preserve">색깔 안내</t>
  </si>
  <si>
    <r>
      <rPr>
        <sz val="10.5"/>
        <color rgb="FF1B1915"/>
        <rFont val="Noto Sans CJK SC"/>
        <family val="2"/>
      </rPr>
      <t xml:space="preserve">민트색 칸은 자동 계산되는 칸이에요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직접 지우거나 고치지 마세요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흰 칸에만 입력하면 됩니다</t>
    </r>
    <r>
      <rPr>
        <sz val="10.5"/>
        <color rgb="FF1B1915"/>
        <rFont val="Arial"/>
        <family val="0"/>
        <charset val="1"/>
      </rPr>
      <t xml:space="preserve">.</t>
    </r>
  </si>
  <si>
    <t xml:space="preserve">숫자 단위</t>
  </si>
  <si>
    <r>
      <rPr>
        <sz val="10.5"/>
        <color rgb="FF1B1915"/>
        <rFont val="Noto Sans CJK SC"/>
        <family val="2"/>
      </rPr>
      <t xml:space="preserve">모든 금액은 원</t>
    </r>
    <r>
      <rPr>
        <sz val="10.5"/>
        <color rgb="FF1B1915"/>
        <rFont val="Arial"/>
        <family val="0"/>
        <charset val="1"/>
      </rPr>
      <t xml:space="preserve">(₩) </t>
    </r>
    <r>
      <rPr>
        <sz val="10.5"/>
        <color rgb="FF1B1915"/>
        <rFont val="Noto Sans CJK SC"/>
        <family val="2"/>
      </rPr>
      <t xml:space="preserve">단위입니다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숫자만 입력하면 자동으로 ₩ 표시가 붙어요</t>
    </r>
    <r>
      <rPr>
        <sz val="10.5"/>
        <color rgb="FF1B1915"/>
        <rFont val="Arial"/>
        <family val="0"/>
        <charset val="1"/>
      </rPr>
      <t xml:space="preserve">.</t>
    </r>
  </si>
  <si>
    <t xml:space="preserve">내 것으로 쓰기</t>
  </si>
  <si>
    <r>
      <rPr>
        <sz val="10.5"/>
        <color rgb="FF1B1915"/>
        <rFont val="Noto Sans CJK SC"/>
        <family val="2"/>
      </rPr>
      <t xml:space="preserve">이 파일은 ‘사본 만들기’로 받은 내 구글 시트예요</t>
    </r>
    <r>
      <rPr>
        <sz val="10.5"/>
        <color rgb="FF1B1915"/>
        <rFont val="Arial"/>
        <family val="0"/>
        <charset val="1"/>
      </rPr>
      <t xml:space="preserve">. </t>
    </r>
    <r>
      <rPr>
        <sz val="10.5"/>
        <color rgb="FF1B1915"/>
        <rFont val="Noto Sans CJK SC"/>
        <family val="2"/>
      </rPr>
      <t xml:space="preserve">항목 이름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카테고리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행 개수 모두 자유롭게 바꿔도 됩니다</t>
    </r>
    <r>
      <rPr>
        <sz val="10.5"/>
        <color rgb="FF1B1915"/>
        <rFont val="Arial"/>
        <family val="0"/>
        <charset val="1"/>
      </rPr>
      <t xml:space="preserve">.</t>
    </r>
  </si>
  <si>
    <t xml:space="preserve">색 구분</t>
  </si>
  <si>
    <r>
      <rPr>
        <sz val="10.5"/>
        <color rgb="FF1B1915"/>
        <rFont val="Noto Sans CJK SC"/>
        <family val="2"/>
      </rPr>
      <t xml:space="preserve">■ 민트색 </t>
    </r>
    <r>
      <rPr>
        <sz val="10.5"/>
        <color rgb="FF1B1915"/>
        <rFont val="Arial"/>
        <family val="0"/>
        <charset val="1"/>
      </rPr>
      <t xml:space="preserve">= </t>
    </r>
    <r>
      <rPr>
        <sz val="10.5"/>
        <color rgb="FF1B1915"/>
        <rFont val="Noto Sans CJK SC"/>
        <family val="2"/>
      </rPr>
      <t xml:space="preserve">자동 계산 칸 </t>
    </r>
    <r>
      <rPr>
        <sz val="10.5"/>
        <color rgb="FF1B1915"/>
        <rFont val="Arial"/>
        <family val="0"/>
        <charset val="1"/>
      </rPr>
      <t xml:space="preserve">(</t>
    </r>
    <r>
      <rPr>
        <sz val="10.5"/>
        <color rgb="FF1B1915"/>
        <rFont val="Noto Sans CJK SC"/>
        <family val="2"/>
      </rPr>
      <t xml:space="preserve">건드리지 마세요</t>
    </r>
    <r>
      <rPr>
        <sz val="10.5"/>
        <color rgb="FF1B1915"/>
        <rFont val="Arial"/>
        <family val="0"/>
        <charset val="1"/>
      </rPr>
      <t xml:space="preserve">)   ·   □ </t>
    </r>
    <r>
      <rPr>
        <sz val="10.5"/>
        <color rgb="FF1B1915"/>
        <rFont val="Noto Sans CJK SC"/>
        <family val="2"/>
      </rPr>
      <t xml:space="preserve">흰색 </t>
    </r>
    <r>
      <rPr>
        <sz val="10.5"/>
        <color rgb="FF1B1915"/>
        <rFont val="Arial"/>
        <family val="0"/>
        <charset val="1"/>
      </rPr>
      <t xml:space="preserve">= </t>
    </r>
    <r>
      <rPr>
        <sz val="10.5"/>
        <color rgb="FF1B1915"/>
        <rFont val="Noto Sans CJK SC"/>
        <family val="2"/>
      </rPr>
      <t xml:space="preserve">직접 입력 칸</t>
    </r>
  </si>
  <si>
    <r>
      <rPr>
        <b val="true"/>
        <sz val="11"/>
        <color rgb="FF0B5C3E"/>
        <rFont val="Noto Sans CJK SC"/>
        <family val="2"/>
      </rPr>
      <t xml:space="preserve">구성 </t>
    </r>
    <r>
      <rPr>
        <b val="true"/>
        <sz val="11"/>
        <color rgb="FF0B5C3E"/>
        <rFont val="Arial"/>
        <family val="0"/>
        <charset val="1"/>
      </rPr>
      <t xml:space="preserve">(</t>
    </r>
    <r>
      <rPr>
        <b val="true"/>
        <sz val="11"/>
        <color rgb="FF0B5C3E"/>
        <rFont val="Noto Sans CJK SC"/>
        <family val="2"/>
      </rPr>
      <t xml:space="preserve">탭</t>
    </r>
    <r>
      <rPr>
        <b val="true"/>
        <sz val="11"/>
        <color rgb="FF0B5C3E"/>
        <rFont val="Arial"/>
        <family val="0"/>
        <charset val="1"/>
      </rPr>
      <t xml:space="preserve">)</t>
    </r>
  </si>
  <si>
    <r>
      <rPr>
        <sz val="10.5"/>
        <color rgb="FF1B1915"/>
        <rFont val="Noto Sans CJK SC"/>
        <family val="2"/>
      </rPr>
      <t xml:space="preserve">시작하기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설정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연간 대시보드 </t>
    </r>
    <r>
      <rPr>
        <sz val="10.5"/>
        <color rgb="FF1B1915"/>
        <rFont val="Arial"/>
        <family val="0"/>
        <charset val="1"/>
      </rPr>
      <t xml:space="preserve">· 1~12</t>
    </r>
    <r>
      <rPr>
        <sz val="10.5"/>
        <color rgb="FF1B1915"/>
        <rFont val="Noto Sans CJK SC"/>
        <family val="2"/>
      </rPr>
      <t xml:space="preserve">월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카테고리 개요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저축 목표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순자산 </t>
    </r>
    <r>
      <rPr>
        <sz val="10.5"/>
        <color rgb="FF1B1915"/>
        <rFont val="Arial"/>
        <family val="0"/>
        <charset val="1"/>
      </rPr>
      <t xml:space="preserve">· </t>
    </r>
    <r>
      <rPr>
        <sz val="10.5"/>
        <color rgb="FF1B1915"/>
        <rFont val="Noto Sans CJK SC"/>
        <family val="2"/>
      </rPr>
      <t xml:space="preserve">고정지출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구독</t>
    </r>
  </si>
  <si>
    <r>
      <rPr>
        <b val="true"/>
        <sz val="11"/>
        <color rgb="FF0B5C3E"/>
        <rFont val="Noto Sans CJK SC"/>
        <family val="2"/>
      </rPr>
      <t xml:space="preserve">안내 </t>
    </r>
    <r>
      <rPr>
        <b val="true"/>
        <sz val="11"/>
        <color rgb="FF0B5C3E"/>
        <rFont val="Arial"/>
        <family val="0"/>
        <charset val="1"/>
      </rPr>
      <t xml:space="preserve">· </t>
    </r>
    <r>
      <rPr>
        <b val="true"/>
        <sz val="11"/>
        <color rgb="FF0B5C3E"/>
        <rFont val="Noto Sans CJK SC"/>
        <family val="2"/>
      </rPr>
      <t xml:space="preserve">면책</t>
    </r>
  </si>
  <si>
    <r>
      <rPr>
        <i val="true"/>
        <sz val="9.5"/>
        <color rgb="FF55605B"/>
        <rFont val="Noto Sans CJK SC"/>
        <family val="2"/>
      </rPr>
      <t xml:space="preserve">이 가계부는 가계 재무 정리를 돕는 교육용 도구이며</t>
    </r>
    <r>
      <rPr>
        <i val="true"/>
        <sz val="9.5"/>
        <color rgb="FF55605B"/>
        <rFont val="Arial"/>
        <family val="0"/>
        <charset val="1"/>
      </rPr>
      <t xml:space="preserve">, </t>
    </r>
    <r>
      <rPr>
        <i val="true"/>
        <sz val="9.5"/>
        <color rgb="FF55605B"/>
        <rFont val="Noto Sans CJK SC"/>
        <family val="2"/>
      </rPr>
      <t xml:space="preserve">개별 투자자문이 아닙니다</t>
    </r>
    <r>
      <rPr>
        <i val="true"/>
        <sz val="9.5"/>
        <color rgb="FF55605B"/>
        <rFont val="Arial"/>
        <family val="0"/>
        <charset val="1"/>
      </rPr>
      <t xml:space="preserve">. </t>
    </r>
    <r>
      <rPr>
        <i val="true"/>
        <sz val="9.5"/>
        <color rgb="FF55605B"/>
        <rFont val="Noto Sans CJK SC"/>
        <family val="2"/>
      </rPr>
      <t xml:space="preserve">수익</t>
    </r>
    <r>
      <rPr>
        <i val="true"/>
        <sz val="9.5"/>
        <color rgb="FF55605B"/>
        <rFont val="Arial"/>
        <family val="0"/>
        <charset val="1"/>
      </rPr>
      <t xml:space="preserve">·</t>
    </r>
    <r>
      <rPr>
        <i val="true"/>
        <sz val="9.5"/>
        <color rgb="FF55605B"/>
        <rFont val="Noto Sans CJK SC"/>
        <family val="2"/>
      </rPr>
      <t xml:space="preserve">원금을 보장하지 않으며 최종 판단과 책임은 본인에게 있습니다</t>
    </r>
    <r>
      <rPr>
        <i val="true"/>
        <sz val="9.5"/>
        <color rgb="FF55605B"/>
        <rFont val="Arial"/>
        <family val="0"/>
        <charset val="1"/>
      </rPr>
      <t xml:space="preserve">. </t>
    </r>
    <r>
      <rPr>
        <i val="true"/>
        <sz val="9.5"/>
        <color rgb="FF55605B"/>
        <rFont val="Noto Sans CJK SC"/>
        <family val="2"/>
      </rPr>
      <t xml:space="preserve">제작</t>
    </r>
    <r>
      <rPr>
        <i val="true"/>
        <sz val="9.5"/>
        <color rgb="FF55605B"/>
        <rFont val="Arial"/>
        <family val="0"/>
        <charset val="1"/>
      </rPr>
      <t xml:space="preserve">: </t>
    </r>
    <r>
      <rPr>
        <i val="true"/>
        <sz val="9.5"/>
        <color rgb="FF55605B"/>
        <rFont val="Noto Sans CJK SC"/>
        <family val="2"/>
      </rPr>
      <t xml:space="preserve">제이슨의 머니쇼</t>
    </r>
    <r>
      <rPr>
        <i val="true"/>
        <sz val="9.5"/>
        <color rgb="FF55605B"/>
        <rFont val="Arial"/>
        <family val="0"/>
        <charset val="1"/>
      </rPr>
      <t xml:space="preserve">.</t>
    </r>
  </si>
  <si>
    <r>
      <rPr>
        <b val="true"/>
        <sz val="18"/>
        <color rgb="FF0E7A52"/>
        <rFont val="Noto Sans CJK SC"/>
        <family val="2"/>
      </rPr>
      <t xml:space="preserve">설정 </t>
    </r>
    <r>
      <rPr>
        <b val="true"/>
        <sz val="18"/>
        <color rgb="FF0E7A52"/>
        <rFont val="Arial"/>
        <family val="0"/>
        <charset val="1"/>
      </rPr>
      <t xml:space="preserve">· </t>
    </r>
    <r>
      <rPr>
        <b val="true"/>
        <sz val="18"/>
        <color rgb="FF0E7A52"/>
        <rFont val="Noto Sans CJK SC"/>
        <family val="2"/>
      </rPr>
      <t xml:space="preserve">내 항목과 금액 정하기</t>
    </r>
  </si>
  <si>
    <r>
      <rPr>
        <sz val="10.5"/>
        <color rgb="FF55605B"/>
        <rFont val="Noto Sans CJK SC"/>
        <family val="2"/>
      </rPr>
      <t xml:space="preserve">흰 칸에 내 상황에 맞는 이름과 금액을 적어주세요</t>
    </r>
    <r>
      <rPr>
        <sz val="10.5"/>
        <color rgb="FF55605B"/>
        <rFont val="Arial"/>
        <family val="0"/>
        <charset val="1"/>
      </rPr>
      <t xml:space="preserve">. </t>
    </r>
    <r>
      <rPr>
        <sz val="10.5"/>
        <color rgb="FF55605B"/>
        <rFont val="Noto Sans CJK SC"/>
        <family val="2"/>
      </rPr>
      <t xml:space="preserve">모든 달 시트에 자동으로 반영됩니다</t>
    </r>
    <r>
      <rPr>
        <sz val="10.5"/>
        <color rgb="FF55605B"/>
        <rFont val="Arial"/>
        <family val="0"/>
        <charset val="1"/>
      </rPr>
      <t xml:space="preserve">.</t>
    </r>
  </si>
  <si>
    <t xml:space="preserve">① 수입원</t>
  </si>
  <si>
    <t xml:space="preserve">항목</t>
  </si>
  <si>
    <t xml:space="preserve">월 예상</t>
  </si>
  <si>
    <r>
      <rPr>
        <sz val="10.5"/>
        <color rgb="FF1B1915"/>
        <rFont val="Noto Sans CJK SC"/>
        <family val="2"/>
      </rPr>
      <t xml:space="preserve">월급 </t>
    </r>
    <r>
      <rPr>
        <sz val="10.5"/>
        <color rgb="FF1B1915"/>
        <rFont val="Arial"/>
        <family val="0"/>
        <charset val="1"/>
      </rPr>
      <t xml:space="preserve">(</t>
    </r>
    <r>
      <rPr>
        <sz val="10.5"/>
        <color rgb="FF1B1915"/>
        <rFont val="Noto Sans CJK SC"/>
        <family val="2"/>
      </rPr>
      <t xml:space="preserve">본업</t>
    </r>
    <r>
      <rPr>
        <sz val="10.5"/>
        <color rgb="FF1B1915"/>
        <rFont val="Arial"/>
        <family val="0"/>
        <charset val="1"/>
      </rPr>
      <t xml:space="preserve">)</t>
    </r>
  </si>
  <si>
    <r>
      <rPr>
        <sz val="10.5"/>
        <color rgb="FF1B1915"/>
        <rFont val="Noto Sans CJK SC"/>
        <family val="2"/>
      </rPr>
      <t xml:space="preserve">부수입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사이드잡</t>
    </r>
  </si>
  <si>
    <r>
      <rPr>
        <sz val="10.5"/>
        <color rgb="FF1B1915"/>
        <rFont val="Noto Sans CJK SC"/>
        <family val="2"/>
      </rPr>
      <t xml:space="preserve">상여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보너스</t>
    </r>
  </si>
  <si>
    <r>
      <rPr>
        <sz val="10.5"/>
        <color rgb="FF1B1915"/>
        <rFont val="Noto Sans CJK SC"/>
        <family val="2"/>
      </rPr>
      <t xml:space="preserve">이자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배당</t>
    </r>
  </si>
  <si>
    <r>
      <rPr>
        <sz val="10.5"/>
        <color rgb="FF1B1915"/>
        <rFont val="Noto Sans CJK SC"/>
        <family val="2"/>
      </rPr>
      <t xml:space="preserve">용돈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기타</t>
    </r>
  </si>
  <si>
    <t xml:space="preserve">② 고정지출</t>
  </si>
  <si>
    <t xml:space="preserve">월 금액</t>
  </si>
  <si>
    <t xml:space="preserve">결제일</t>
  </si>
  <si>
    <r>
      <rPr>
        <sz val="10.5"/>
        <color rgb="FF1B1915"/>
        <rFont val="Noto Sans CJK SC"/>
        <family val="2"/>
      </rPr>
      <t xml:space="preserve">월세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주택대출 상환</t>
    </r>
  </si>
  <si>
    <r>
      <rPr>
        <sz val="10.5"/>
        <color rgb="FF1B1915"/>
        <rFont val="Arial"/>
        <family val="0"/>
        <charset val="1"/>
      </rPr>
      <t xml:space="preserve">25</t>
    </r>
    <r>
      <rPr>
        <sz val="10.5"/>
        <color rgb="FF1B1915"/>
        <rFont val="Noto Sans CJK SC"/>
        <family val="2"/>
      </rPr>
      <t xml:space="preserve">일</t>
    </r>
  </si>
  <si>
    <t xml:space="preserve">관리비</t>
  </si>
  <si>
    <r>
      <rPr>
        <sz val="10.5"/>
        <color rgb="FF1B1915"/>
        <rFont val="Arial"/>
        <family val="0"/>
        <charset val="1"/>
      </rPr>
      <t xml:space="preserve">30</t>
    </r>
    <r>
      <rPr>
        <sz val="10.5"/>
        <color rgb="FF1B1915"/>
        <rFont val="Noto Sans CJK SC"/>
        <family val="2"/>
      </rPr>
      <t xml:space="preserve">일</t>
    </r>
  </si>
  <si>
    <r>
      <rPr>
        <sz val="10.5"/>
        <color rgb="FF1B1915"/>
        <rFont val="Noto Sans CJK SC"/>
        <family val="2"/>
      </rPr>
      <t xml:space="preserve">통신비 </t>
    </r>
    <r>
      <rPr>
        <sz val="10.5"/>
        <color rgb="FF1B1915"/>
        <rFont val="Arial"/>
        <family val="0"/>
        <charset val="1"/>
      </rPr>
      <t xml:space="preserve">(</t>
    </r>
    <r>
      <rPr>
        <sz val="10.5"/>
        <color rgb="FF1B1915"/>
        <rFont val="Noto Sans CJK SC"/>
        <family val="2"/>
      </rPr>
      <t xml:space="preserve">휴대폰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인터넷</t>
    </r>
    <r>
      <rPr>
        <sz val="10.5"/>
        <color rgb="FF1B1915"/>
        <rFont val="Arial"/>
        <family val="0"/>
        <charset val="1"/>
      </rPr>
      <t xml:space="preserve">)</t>
    </r>
  </si>
  <si>
    <r>
      <rPr>
        <sz val="10.5"/>
        <color rgb="FF1B1915"/>
        <rFont val="Arial"/>
        <family val="0"/>
        <charset val="1"/>
      </rPr>
      <t xml:space="preserve">15</t>
    </r>
    <r>
      <rPr>
        <sz val="10.5"/>
        <color rgb="FF1B1915"/>
        <rFont val="Noto Sans CJK SC"/>
        <family val="2"/>
      </rPr>
      <t xml:space="preserve">일</t>
    </r>
  </si>
  <si>
    <t xml:space="preserve">보험료</t>
  </si>
  <si>
    <r>
      <rPr>
        <sz val="10.5"/>
        <color rgb="FF1B1915"/>
        <rFont val="Arial"/>
        <family val="0"/>
        <charset val="1"/>
      </rPr>
      <t xml:space="preserve">5</t>
    </r>
    <r>
      <rPr>
        <sz val="10.5"/>
        <color rgb="FF1B1915"/>
        <rFont val="Noto Sans CJK SC"/>
        <family val="2"/>
      </rPr>
      <t xml:space="preserve">일</t>
    </r>
  </si>
  <si>
    <t xml:space="preserve">구독 서비스</t>
  </si>
  <si>
    <r>
      <rPr>
        <sz val="10.5"/>
        <color rgb="FF1B1915"/>
        <rFont val="Arial"/>
        <family val="0"/>
        <charset val="1"/>
      </rPr>
      <t xml:space="preserve">10</t>
    </r>
    <r>
      <rPr>
        <sz val="10.5"/>
        <color rgb="FF1B1915"/>
        <rFont val="Noto Sans CJK SC"/>
        <family val="2"/>
      </rPr>
      <t xml:space="preserve">일</t>
    </r>
  </si>
  <si>
    <t xml:space="preserve">교통 정기권</t>
  </si>
  <si>
    <r>
      <rPr>
        <sz val="10.5"/>
        <color rgb="FF1B1915"/>
        <rFont val="Arial"/>
        <family val="0"/>
        <charset val="1"/>
      </rPr>
      <t xml:space="preserve">1</t>
    </r>
    <r>
      <rPr>
        <sz val="10.5"/>
        <color rgb="FF1B1915"/>
        <rFont val="Noto Sans CJK SC"/>
        <family val="2"/>
      </rPr>
      <t xml:space="preserve">일</t>
    </r>
  </si>
  <si>
    <t xml:space="preserve">적금</t>
  </si>
  <si>
    <t xml:space="preserve">청약저축</t>
  </si>
  <si>
    <t xml:space="preserve">대출 이자</t>
  </si>
  <si>
    <r>
      <rPr>
        <sz val="10.5"/>
        <color rgb="FF1B1915"/>
        <rFont val="Noto Sans CJK SC"/>
        <family val="2"/>
      </rPr>
      <t xml:space="preserve">공과금 </t>
    </r>
    <r>
      <rPr>
        <sz val="10.5"/>
        <color rgb="FF1B1915"/>
        <rFont val="Arial"/>
        <family val="0"/>
        <charset val="1"/>
      </rPr>
      <t xml:space="preserve">(</t>
    </r>
    <r>
      <rPr>
        <sz val="10.5"/>
        <color rgb="FF1B1915"/>
        <rFont val="Noto Sans CJK SC"/>
        <family val="2"/>
      </rPr>
      <t xml:space="preserve">전기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가스</t>
    </r>
    <r>
      <rPr>
        <sz val="10.5"/>
        <color rgb="FF1B1915"/>
        <rFont val="Arial"/>
        <family val="0"/>
        <charset val="1"/>
      </rPr>
      <t xml:space="preserve">·</t>
    </r>
    <r>
      <rPr>
        <sz val="10.5"/>
        <color rgb="FF1B1915"/>
        <rFont val="Noto Sans CJK SC"/>
        <family val="2"/>
      </rPr>
      <t xml:space="preserve">수도</t>
    </r>
    <r>
      <rPr>
        <sz val="10.5"/>
        <color rgb="FF1B1915"/>
        <rFont val="Arial"/>
        <family val="0"/>
        <charset val="1"/>
      </rPr>
      <t xml:space="preserve">)</t>
    </r>
  </si>
  <si>
    <t xml:space="preserve">말일</t>
  </si>
  <si>
    <r>
      <rPr>
        <b val="true"/>
        <sz val="11"/>
        <color rgb="FFFFFFFF"/>
        <rFont val="Noto Sans CJK SC"/>
        <family val="2"/>
      </rPr>
      <t xml:space="preserve">③ 지출 카테고리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변동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</si>
  <si>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월 예산</t>
  </si>
  <si>
    <r>
      <rPr>
        <sz val="10.5"/>
        <color rgb="FF1B1915"/>
        <rFont val="Noto Sans CJK SC"/>
        <family val="2"/>
      </rPr>
      <t xml:space="preserve">식비 </t>
    </r>
    <r>
      <rPr>
        <sz val="10.5"/>
        <color rgb="FF1B1915"/>
        <rFont val="Arial"/>
        <family val="0"/>
        <charset val="1"/>
      </rPr>
      <t xml:space="preserve">(</t>
    </r>
    <r>
      <rPr>
        <sz val="10.5"/>
        <color rgb="FF1B1915"/>
        <rFont val="Noto Sans CJK SC"/>
        <family val="2"/>
      </rPr>
      <t xml:space="preserve">장보기</t>
    </r>
    <r>
      <rPr>
        <sz val="10.5"/>
        <color rgb="FF1B1915"/>
        <rFont val="Arial"/>
        <family val="0"/>
        <charset val="1"/>
      </rPr>
      <t xml:space="preserve">)</t>
    </r>
  </si>
  <si>
    <r>
      <rPr>
        <sz val="10.5"/>
        <color rgb="FF1B1915"/>
        <rFont val="Noto Sans CJK SC"/>
        <family val="2"/>
      </rPr>
      <t xml:space="preserve">외식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카페</t>
    </r>
  </si>
  <si>
    <t xml:space="preserve">생활용품</t>
  </si>
  <si>
    <r>
      <rPr>
        <sz val="10.5"/>
        <color rgb="FF1B1915"/>
        <rFont val="Noto Sans CJK SC"/>
        <family val="2"/>
      </rPr>
      <t xml:space="preserve">교통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차량</t>
    </r>
  </si>
  <si>
    <r>
      <rPr>
        <sz val="10.5"/>
        <color rgb="FF1B1915"/>
        <rFont val="Noto Sans CJK SC"/>
        <family val="2"/>
      </rPr>
      <t xml:space="preserve">의료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건강</t>
    </r>
  </si>
  <si>
    <r>
      <rPr>
        <sz val="10.5"/>
        <color rgb="FF1B1915"/>
        <rFont val="Noto Sans CJK SC"/>
        <family val="2"/>
      </rPr>
      <t xml:space="preserve">의류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미용</t>
    </r>
  </si>
  <si>
    <r>
      <rPr>
        <sz val="10.5"/>
        <color rgb="FF1B1915"/>
        <rFont val="Noto Sans CJK SC"/>
        <family val="2"/>
      </rPr>
      <t xml:space="preserve">교육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자기계발</t>
    </r>
  </si>
  <si>
    <r>
      <rPr>
        <sz val="10.5"/>
        <color rgb="FF1B1915"/>
        <rFont val="Noto Sans CJK SC"/>
        <family val="2"/>
      </rPr>
      <t xml:space="preserve">문화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여가</t>
    </r>
  </si>
  <si>
    <r>
      <rPr>
        <sz val="10.5"/>
        <color rgb="FF1B1915"/>
        <rFont val="Noto Sans CJK SC"/>
        <family val="2"/>
      </rPr>
      <t xml:space="preserve">경조사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선물</t>
    </r>
  </si>
  <si>
    <r>
      <rPr>
        <sz val="10.5"/>
        <color rgb="FF1B1915"/>
        <rFont val="Noto Sans CJK SC"/>
        <family val="2"/>
      </rPr>
      <t xml:space="preserve">자녀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육아</t>
    </r>
  </si>
  <si>
    <t xml:space="preserve">반려동물</t>
  </si>
  <si>
    <t xml:space="preserve">여행</t>
  </si>
  <si>
    <r>
      <rPr>
        <sz val="10.5"/>
        <color rgb="FF1B1915"/>
        <rFont val="Noto Sans CJK SC"/>
        <family val="2"/>
      </rPr>
      <t xml:space="preserve">통신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디지털</t>
    </r>
  </si>
  <si>
    <r>
      <rPr>
        <sz val="10.5"/>
        <color rgb="FF1B1915"/>
        <rFont val="Noto Sans CJK SC"/>
        <family val="2"/>
      </rPr>
      <t xml:space="preserve">기부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후원</t>
    </r>
  </si>
  <si>
    <t xml:space="preserve">기타</t>
  </si>
  <si>
    <r>
      <rPr>
        <b val="true"/>
        <sz val="11"/>
        <color rgb="FFFFFFFF"/>
        <rFont val="Noto Sans CJK SC"/>
        <family val="2"/>
      </rPr>
      <t xml:space="preserve">④ 저축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투자 목표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월 정기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</si>
  <si>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월 목표</t>
  </si>
  <si>
    <t xml:space="preserve">비상금</t>
  </si>
  <si>
    <r>
      <rPr>
        <sz val="10.5"/>
        <color rgb="FF1B1915"/>
        <rFont val="Noto Sans CJK SC"/>
        <family val="2"/>
      </rPr>
      <t xml:space="preserve">청약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내집마련</t>
    </r>
  </si>
  <si>
    <r>
      <rPr>
        <sz val="10.5"/>
        <color rgb="FF1B1915"/>
        <rFont val="Noto Sans CJK SC"/>
        <family val="2"/>
      </rPr>
      <t xml:space="preserve">투자 </t>
    </r>
    <r>
      <rPr>
        <sz val="10.5"/>
        <color rgb="FF1B1915"/>
        <rFont val="Arial"/>
        <family val="0"/>
        <charset val="1"/>
      </rPr>
      <t xml:space="preserve">(ETF·</t>
    </r>
    <r>
      <rPr>
        <sz val="10.5"/>
        <color rgb="FF1B1915"/>
        <rFont val="Noto Sans CJK SC"/>
        <family val="2"/>
      </rPr>
      <t xml:space="preserve">주식</t>
    </r>
    <r>
      <rPr>
        <sz val="10.5"/>
        <color rgb="FF1B1915"/>
        <rFont val="Arial"/>
        <family val="0"/>
        <charset val="1"/>
      </rPr>
      <t xml:space="preserve">)</t>
    </r>
  </si>
  <si>
    <t xml:space="preserve">여행 자금</t>
  </si>
  <si>
    <r>
      <rPr>
        <sz val="10.5"/>
        <color rgb="FF1B1915"/>
        <rFont val="Noto Sans CJK SC"/>
        <family val="2"/>
      </rPr>
      <t xml:space="preserve">노후 </t>
    </r>
    <r>
      <rPr>
        <sz val="10.5"/>
        <color rgb="FF1B1915"/>
        <rFont val="Arial"/>
        <family val="0"/>
        <charset val="1"/>
      </rPr>
      <t xml:space="preserve">/ </t>
    </r>
    <r>
      <rPr>
        <sz val="10.5"/>
        <color rgb="FF1B1915"/>
        <rFont val="Noto Sans CJK SC"/>
        <family val="2"/>
      </rPr>
      <t xml:space="preserve">연금</t>
    </r>
  </si>
  <si>
    <t xml:space="preserve">목표 저축</t>
  </si>
  <si>
    <r>
      <rPr>
        <b val="true"/>
        <sz val="20"/>
        <color rgb="FF0E7A52"/>
        <rFont val="Noto Sans CJK SC"/>
        <family val="2"/>
      </rPr>
      <t xml:space="preserve">연간 대시보드 </t>
    </r>
    <r>
      <rPr>
        <b val="true"/>
        <sz val="20"/>
        <color rgb="FF0E7A52"/>
        <rFont val="Arial"/>
        <family val="0"/>
        <charset val="1"/>
      </rPr>
      <t xml:space="preserve">· 2026</t>
    </r>
  </si>
  <si>
    <r>
      <rPr>
        <sz val="10.5"/>
        <color rgb="FF55605B"/>
        <rFont val="Noto Sans CJK SC"/>
        <family val="2"/>
      </rPr>
      <t xml:space="preserve">각 달 시트에 기록하면 아래 표와 그래프가 자동으로 채워집니다</t>
    </r>
    <r>
      <rPr>
        <sz val="10.5"/>
        <color rgb="FF55605B"/>
        <rFont val="Arial"/>
        <family val="0"/>
        <charset val="1"/>
      </rPr>
      <t xml:space="preserve">.</t>
    </r>
  </si>
  <si>
    <t xml:space="preserve">연 총수입</t>
  </si>
  <si>
    <t xml:space="preserve">연 총지출</t>
  </si>
  <si>
    <r>
      <rPr>
        <b val="true"/>
        <sz val="10"/>
        <color rgb="FFFFFFFF"/>
        <rFont val="Noto Sans CJK SC"/>
        <family val="2"/>
      </rPr>
      <t xml:space="preserve">연 저축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투자</t>
    </r>
  </si>
  <si>
    <t xml:space="preserve">평균 저축률</t>
  </si>
  <si>
    <t xml:space="preserve">최근 순자산</t>
  </si>
  <si>
    <t xml:space="preserve">월</t>
  </si>
  <si>
    <t xml:space="preserve">수입</t>
  </si>
  <si>
    <t xml:space="preserve">지출</t>
  </si>
  <si>
    <r>
      <rPr>
        <b val="true"/>
        <sz val="9.5"/>
        <color rgb="FF55605B"/>
        <rFont val="Noto Sans CJK SC"/>
        <family val="2"/>
      </rPr>
      <t xml:space="preserve">저축</t>
    </r>
    <r>
      <rPr>
        <b val="true"/>
        <sz val="9.5"/>
        <color rgb="FF55605B"/>
        <rFont val="Arial"/>
        <family val="0"/>
        <charset val="1"/>
      </rPr>
      <t xml:space="preserve">·</t>
    </r>
    <r>
      <rPr>
        <b val="true"/>
        <sz val="9.5"/>
        <color rgb="FF55605B"/>
        <rFont val="Noto Sans CJK SC"/>
        <family val="2"/>
      </rPr>
      <t xml:space="preserve">투자</t>
    </r>
  </si>
  <si>
    <t xml:space="preserve">남은 돈</t>
  </si>
  <si>
    <t xml:space="preserve">저축률</t>
  </si>
  <si>
    <r>
      <rPr>
        <b val="true"/>
        <sz val="10"/>
        <color rgb="FF1B1915"/>
        <rFont val="Arial"/>
        <family val="0"/>
        <charset val="1"/>
      </rPr>
      <t xml:space="preserve">1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</si>
  <si>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2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</si>
  <si>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3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</si>
  <si>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4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</si>
  <si>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5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</si>
  <si>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6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</si>
  <si>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7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</si>
  <si>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8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</si>
  <si>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9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</si>
  <si>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10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</si>
  <si>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11</t>
    </r>
    <r>
      <rPr>
        <b val="true"/>
        <sz val="10"/>
        <color rgb="FF1B1915"/>
        <rFont val="Noto Sans CJK SC"/>
        <family val="2"/>
      </rPr>
      <t xml:space="preserve">월</t>
    </r>
  </si>
  <si>
    <r>
      <rPr>
        <b val="true"/>
        <sz val="10"/>
        <color rgb="FF1B1915"/>
        <rFont val="Arial"/>
        <family val="0"/>
        <charset val="1"/>
      </rPr>
      <t xml:space="preserve">12</t>
    </r>
    <r>
      <rPr>
        <b val="true"/>
        <sz val="10"/>
        <color rgb="FF1B1915"/>
        <rFont val="Noto Sans CJK SC"/>
        <family val="2"/>
      </rPr>
      <t xml:space="preserve">월</t>
    </r>
  </si>
  <si>
    <t xml:space="preserve">합계</t>
  </si>
  <si>
    <t xml:space="preserve">월평균</t>
  </si>
  <si>
    <r>
      <rPr>
        <b val="true"/>
        <sz val="8"/>
        <color rgb="FF55605B"/>
        <rFont val="Noto Sans CJK SC"/>
        <family val="2"/>
      </rPr>
      <t xml:space="preserve">연간 지출</t>
    </r>
    <r>
      <rPr>
        <b val="true"/>
        <sz val="8"/>
        <color rgb="FF55605B"/>
        <rFont val="Arial"/>
        <family val="0"/>
        <charset val="1"/>
      </rPr>
      <t xml:space="preserve">·</t>
    </r>
    <r>
      <rPr>
        <b val="true"/>
        <sz val="8"/>
        <color rgb="FF55605B"/>
        <rFont val="Noto Sans CJK SC"/>
        <family val="2"/>
      </rPr>
      <t xml:space="preserve">저축 구성</t>
    </r>
  </si>
  <si>
    <t xml:space="preserve">고정지출</t>
  </si>
  <si>
    <t xml:space="preserve">변동지출</t>
  </si>
  <si>
    <r>
      <rPr>
        <sz val="9"/>
        <color rgb="FF1B1915"/>
        <rFont val="Noto Sans CJK SC"/>
        <family val="2"/>
      </rPr>
      <t xml:space="preserve">저축</t>
    </r>
    <r>
      <rPr>
        <sz val="9"/>
        <color rgb="FF1B1915"/>
        <rFont val="Arial"/>
        <family val="0"/>
        <charset val="1"/>
      </rPr>
      <t xml:space="preserve">·</t>
    </r>
    <r>
      <rPr>
        <sz val="9"/>
        <color rgb="FF1B1915"/>
        <rFont val="Noto Sans CJK SC"/>
        <family val="2"/>
      </rPr>
      <t xml:space="preserve">투자</t>
    </r>
  </si>
  <si>
    <r>
      <rPr>
        <b val="true"/>
        <sz val="20"/>
        <color rgb="FF0E7A52"/>
        <rFont val="Arial"/>
        <family val="0"/>
        <charset val="1"/>
      </rPr>
      <t xml:space="preserve">1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</si>
  <si>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10"/>
        <color rgb="FF55605B"/>
        <rFont val="Noto Sans CJK SC"/>
        <family val="2"/>
      </rPr>
      <t xml:space="preserve">제이슨의 머니쇼 </t>
    </r>
    <r>
      <rPr>
        <b val="true"/>
        <sz val="10"/>
        <color rgb="FF55605B"/>
        <rFont val="Arial"/>
        <family val="0"/>
        <charset val="1"/>
      </rPr>
      <t xml:space="preserve">· 2026</t>
    </r>
  </si>
  <si>
    <r>
      <rPr>
        <b val="true"/>
        <sz val="8"/>
        <color rgb="FF55605B"/>
        <rFont val="Noto Sans CJK SC"/>
        <family val="2"/>
      </rPr>
      <t xml:space="preserve">월 지출</t>
    </r>
    <r>
      <rPr>
        <b val="true"/>
        <sz val="8"/>
        <color rgb="FF55605B"/>
        <rFont val="Arial"/>
        <family val="0"/>
        <charset val="1"/>
      </rPr>
      <t xml:space="preserve">(</t>
    </r>
    <r>
      <rPr>
        <b val="true"/>
        <sz val="8"/>
        <color rgb="FF55605B"/>
        <rFont val="Noto Sans CJK SC"/>
        <family val="2"/>
      </rPr>
      <t xml:space="preserve">전체</t>
    </r>
    <r>
      <rPr>
        <b val="true"/>
        <sz val="8"/>
        <color rgb="FF55605B"/>
        <rFont val="Arial"/>
        <family val="0"/>
        <charset val="1"/>
      </rPr>
      <t xml:space="preserve">) </t>
    </r>
    <r>
      <rPr>
        <b val="true"/>
        <sz val="8"/>
        <color rgb="FF55605B"/>
        <rFont val="Noto Sans CJK SC"/>
        <family val="2"/>
      </rPr>
      <t xml:space="preserve">차트 데이터</t>
    </r>
  </si>
  <si>
    <t xml:space="preserve">이번 달 한눈에</t>
  </si>
  <si>
    <t xml:space="preserve">변동지출 기록</t>
  </si>
  <si>
    <r>
      <rPr>
        <b val="true"/>
        <sz val="11"/>
        <color rgb="FFFFFFFF"/>
        <rFont val="Noto Sans CJK SC"/>
        <family val="2"/>
      </rPr>
      <t xml:space="preserve">카테고리별 예산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사용</t>
    </r>
  </si>
  <si>
    <t xml:space="preserve">차트 데이터</t>
  </si>
  <si>
    <t xml:space="preserve">총수입</t>
  </si>
  <si>
    <t xml:space="preserve">날짜</t>
  </si>
  <si>
    <t xml:space="preserve">분류</t>
  </si>
  <si>
    <t xml:space="preserve">내용</t>
  </si>
  <si>
    <t xml:space="preserve">금액</t>
  </si>
  <si>
    <t xml:space="preserve">예산</t>
  </si>
  <si>
    <t xml:space="preserve">사용</t>
  </si>
  <si>
    <t xml:space="preserve">달성</t>
  </si>
  <si>
    <t xml:space="preserve">진행</t>
  </si>
  <si>
    <t xml:space="preserve">구분</t>
  </si>
  <si>
    <t xml:space="preserve">실제</t>
  </si>
  <si>
    <t xml:space="preserve">총지출</t>
  </si>
  <si>
    <r>
      <rPr>
        <sz val="10"/>
        <color rgb="FF0000FF"/>
        <rFont val="Noto Sans CJK SC"/>
        <family val="2"/>
      </rPr>
      <t xml:space="preserve">식비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장보기</t>
    </r>
    <r>
      <rPr>
        <sz val="10"/>
        <color rgb="FF0000FF"/>
        <rFont val="Arial"/>
        <family val="0"/>
        <charset val="1"/>
      </rPr>
      <t xml:space="preserve">)</t>
    </r>
  </si>
  <si>
    <t xml:space="preserve">이마트 장보기</t>
  </si>
  <si>
    <r>
      <rPr>
        <b val="true"/>
        <sz val="11"/>
        <color rgb="FF1B1915"/>
        <rFont val="Noto Sans CJK SC"/>
        <family val="2"/>
      </rPr>
      <t xml:space="preserve">저축</t>
    </r>
    <r>
      <rPr>
        <b val="true"/>
        <sz val="11"/>
        <color rgb="FF1B1915"/>
        <rFont val="Arial"/>
        <family val="0"/>
        <charset val="1"/>
      </rPr>
      <t xml:space="preserve">·</t>
    </r>
    <r>
      <rPr>
        <b val="true"/>
        <sz val="11"/>
        <color rgb="FF1B1915"/>
        <rFont val="Noto Sans CJK SC"/>
        <family val="2"/>
      </rPr>
      <t xml:space="preserve">투자</t>
    </r>
  </si>
  <si>
    <r>
      <rPr>
        <sz val="10"/>
        <color rgb="FF0000FF"/>
        <rFont val="Noto Sans CJK SC"/>
        <family val="2"/>
      </rPr>
      <t xml:space="preserve">외식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카페</t>
    </r>
  </si>
  <si>
    <t xml:space="preserve">점심 약속</t>
  </si>
  <si>
    <r>
      <rPr>
        <sz val="10"/>
        <color rgb="FF0000FF"/>
        <rFont val="Noto Sans CJK SC"/>
        <family val="2"/>
      </rPr>
      <t xml:space="preserve">교통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차량</t>
    </r>
  </si>
  <si>
    <t xml:space="preserve">주유</t>
  </si>
  <si>
    <t xml:space="preserve">저축</t>
  </si>
  <si>
    <r>
      <rPr>
        <sz val="10"/>
        <color rgb="FF0000FF"/>
        <rFont val="Noto Sans CJK SC"/>
        <family val="2"/>
      </rPr>
      <t xml:space="preserve">문화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여가</t>
    </r>
  </si>
  <si>
    <t xml:space="preserve">영화 관람</t>
  </si>
  <si>
    <t xml:space="preserve">동네 마트</t>
  </si>
  <si>
    <r>
      <rPr>
        <sz val="10"/>
        <color rgb="FF0000FF"/>
        <rFont val="Noto Sans CJK SC"/>
        <family val="2"/>
      </rPr>
      <t xml:space="preserve">의류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미용</t>
    </r>
  </si>
  <si>
    <t xml:space="preserve">미용실</t>
  </si>
  <si>
    <t xml:space="preserve">예상</t>
  </si>
  <si>
    <t xml:space="preserve">차이</t>
  </si>
  <si>
    <t xml:space="preserve">주말 카페</t>
  </si>
  <si>
    <t xml:space="preserve">다이소</t>
  </si>
  <si>
    <r>
      <rPr>
        <sz val="10"/>
        <color rgb="FF0000FF"/>
        <rFont val="Noto Sans CJK SC"/>
        <family val="2"/>
      </rPr>
      <t xml:space="preserve">의료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건강</t>
    </r>
  </si>
  <si>
    <t xml:space="preserve">약국</t>
  </si>
  <si>
    <r>
      <rPr>
        <sz val="10"/>
        <color rgb="FF0000FF"/>
        <rFont val="Noto Sans CJK SC"/>
        <family val="2"/>
      </rPr>
      <t xml:space="preserve">경조사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선물</t>
    </r>
  </si>
  <si>
    <t xml:space="preserve">친구 생일선물</t>
  </si>
  <si>
    <t xml:space="preserve">주말 여행 숙박</t>
  </si>
  <si>
    <t xml:space="preserve">저녁 외식</t>
  </si>
  <si>
    <t xml:space="preserve">장보기</t>
  </si>
  <si>
    <r>
      <rPr>
        <sz val="10"/>
        <color rgb="FF0000FF"/>
        <rFont val="Noto Sans CJK SC"/>
        <family val="2"/>
      </rPr>
      <t xml:space="preserve">교육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자기계발</t>
    </r>
  </si>
  <si>
    <t xml:space="preserve">온라인 강의</t>
  </si>
  <si>
    <r>
      <rPr>
        <sz val="10"/>
        <color rgb="FF0000FF"/>
        <rFont val="Noto Sans CJK SC"/>
        <family val="2"/>
      </rPr>
      <t xml:space="preserve">기부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후원</t>
    </r>
  </si>
  <si>
    <t xml:space="preserve">정기 후원</t>
  </si>
  <si>
    <r>
      <rPr>
        <sz val="10"/>
        <color rgb="FF0000FF"/>
        <rFont val="Noto Sans CJK SC"/>
        <family val="2"/>
      </rPr>
      <t xml:space="preserve">통신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디지털</t>
    </r>
  </si>
  <si>
    <t xml:space="preserve">앱 구독 결제</t>
  </si>
  <si>
    <r>
      <rPr>
        <b val="true"/>
        <sz val="11"/>
        <color rgb="FFFFFFFF"/>
        <rFont val="Noto Sans CJK SC"/>
        <family val="2"/>
      </rPr>
      <t xml:space="preserve">저축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투자</t>
    </r>
  </si>
  <si>
    <t xml:space="preserve">목표</t>
  </si>
  <si>
    <r>
      <rPr>
        <b val="true"/>
        <sz val="11"/>
        <color rgb="FFFFFFFF"/>
        <rFont val="Noto Sans CJK SC"/>
        <family val="2"/>
      </rPr>
      <t xml:space="preserve">이달의 메모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SC"/>
        <family val="2"/>
      </rPr>
      <t xml:space="preserve">회고</t>
    </r>
  </si>
  <si>
    <r>
      <rPr>
        <b val="true"/>
        <sz val="20"/>
        <color rgb="FF0E7A52"/>
        <rFont val="Arial"/>
        <family val="0"/>
        <charset val="1"/>
      </rPr>
      <t xml:space="preserve">2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</si>
  <si>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3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</si>
  <si>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4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</si>
  <si>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5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</si>
  <si>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6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</si>
  <si>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7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</si>
  <si>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8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</si>
  <si>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9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</si>
  <si>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10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</si>
  <si>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11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</si>
  <si>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Arial"/>
        <family val="0"/>
        <charset val="1"/>
      </rPr>
      <t xml:space="preserve">12</t>
    </r>
    <r>
      <rPr>
        <b val="true"/>
        <sz val="20"/>
        <color rgb="FF0E7A52"/>
        <rFont val="Noto Sans CJK SC"/>
        <family val="2"/>
      </rPr>
      <t xml:space="preserve">월 가계부</t>
    </r>
  </si>
  <si>
    <r>
      <rPr>
        <b val="true"/>
        <sz val="20"/>
        <color rgb="FF0E7A52"/>
        <rFont val="Noto Sans CJK SC"/>
        <family val="2"/>
      </rPr>
      <t xml:space="preserve">카테고리 개요 </t>
    </r>
    <r>
      <rPr>
        <b val="true"/>
        <sz val="20"/>
        <color rgb="FF0E7A52"/>
        <rFont val="Arial"/>
        <family val="0"/>
        <charset val="1"/>
      </rPr>
      <t xml:space="preserve">· 2026</t>
    </r>
  </si>
  <si>
    <r>
      <rPr>
        <sz val="10.5"/>
        <color rgb="FF55605B"/>
        <rFont val="Noto Sans CJK SC"/>
        <family val="2"/>
      </rPr>
      <t xml:space="preserve">각 달 시트의 카테고리별 사용액을 한 표로 모았습니다</t>
    </r>
    <r>
      <rPr>
        <sz val="10.5"/>
        <color rgb="FF55605B"/>
        <rFont val="Arial"/>
        <family val="0"/>
        <charset val="1"/>
      </rPr>
      <t xml:space="preserve">. </t>
    </r>
    <r>
      <rPr>
        <sz val="10.5"/>
        <color rgb="FF55605B"/>
        <rFont val="Noto Sans CJK SC"/>
        <family val="2"/>
      </rPr>
      <t xml:space="preserve">자동 계산됩니다</t>
    </r>
    <r>
      <rPr>
        <sz val="10.5"/>
        <color rgb="FF55605B"/>
        <rFont val="Arial"/>
        <family val="0"/>
        <charset val="1"/>
      </rPr>
      <t xml:space="preserve">.</t>
    </r>
  </si>
  <si>
    <r>
      <rPr>
        <b val="true"/>
        <sz val="9"/>
        <color rgb="FF55605B"/>
        <rFont val="Arial"/>
        <family val="0"/>
        <charset val="1"/>
      </rPr>
      <t xml:space="preserve">1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</si>
  <si>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2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</si>
  <si>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3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</si>
  <si>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4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</si>
  <si>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5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</si>
  <si>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6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</si>
  <si>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7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</si>
  <si>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8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</si>
  <si>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9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</si>
  <si>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10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</si>
  <si>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11</t>
    </r>
    <r>
      <rPr>
        <b val="true"/>
        <sz val="9"/>
        <color rgb="FF55605B"/>
        <rFont val="Noto Sans CJK SC"/>
        <family val="2"/>
      </rPr>
      <t xml:space="preserve">월</t>
    </r>
  </si>
  <si>
    <r>
      <rPr>
        <b val="true"/>
        <sz val="9"/>
        <color rgb="FF55605B"/>
        <rFont val="Arial"/>
        <family val="0"/>
        <charset val="1"/>
      </rPr>
      <t xml:space="preserve">12</t>
    </r>
    <r>
      <rPr>
        <b val="true"/>
        <sz val="9"/>
        <color rgb="FF55605B"/>
        <rFont val="Noto Sans CJK SC"/>
        <family val="2"/>
      </rPr>
      <t xml:space="preserve">월</t>
    </r>
  </si>
  <si>
    <t xml:space="preserve">연 예산</t>
  </si>
  <si>
    <t xml:space="preserve">예산대비</t>
  </si>
  <si>
    <t xml:space="preserve">월 합계</t>
  </si>
  <si>
    <r>
      <rPr>
        <b val="true"/>
        <sz val="20"/>
        <color rgb="FF0E7A52"/>
        <rFont val="Noto Sans CJK SC"/>
        <family val="2"/>
      </rPr>
      <t xml:space="preserve">저축 목표 </t>
    </r>
    <r>
      <rPr>
        <b val="true"/>
        <sz val="20"/>
        <color rgb="FF0E7A52"/>
        <rFont val="Arial"/>
        <family val="0"/>
        <charset val="1"/>
      </rPr>
      <t xml:space="preserve">· </t>
    </r>
    <r>
      <rPr>
        <b val="true"/>
        <sz val="20"/>
        <color rgb="FF0E7A52"/>
        <rFont val="Noto Sans CJK SC"/>
        <family val="2"/>
      </rPr>
      <t xml:space="preserve">목적자금</t>
    </r>
  </si>
  <si>
    <r>
      <rPr>
        <sz val="10.5"/>
        <color rgb="FF55605B"/>
        <rFont val="Noto Sans CJK SC"/>
        <family val="2"/>
      </rPr>
      <t xml:space="preserve">목표명</t>
    </r>
    <r>
      <rPr>
        <sz val="10.5"/>
        <color rgb="FF55605B"/>
        <rFont val="Arial"/>
        <family val="0"/>
        <charset val="1"/>
      </rPr>
      <t xml:space="preserve">·</t>
    </r>
    <r>
      <rPr>
        <sz val="10.5"/>
        <color rgb="FF55605B"/>
        <rFont val="Noto Sans CJK SC"/>
        <family val="2"/>
      </rPr>
      <t xml:space="preserve">목표금액</t>
    </r>
    <r>
      <rPr>
        <sz val="10.5"/>
        <color rgb="FF55605B"/>
        <rFont val="Arial"/>
        <family val="0"/>
        <charset val="1"/>
      </rPr>
      <t xml:space="preserve">·</t>
    </r>
    <r>
      <rPr>
        <sz val="10.5"/>
        <color rgb="FF55605B"/>
        <rFont val="Noto Sans CJK SC"/>
        <family val="2"/>
      </rPr>
      <t xml:space="preserve">목표일과 매달 납입액</t>
    </r>
    <r>
      <rPr>
        <sz val="10.5"/>
        <color rgb="FF55605B"/>
        <rFont val="Arial"/>
        <family val="0"/>
        <charset val="1"/>
      </rPr>
      <t xml:space="preserve">(</t>
    </r>
    <r>
      <rPr>
        <sz val="10.5"/>
        <color rgb="FF55605B"/>
        <rFont val="Noto Sans CJK SC"/>
        <family val="2"/>
      </rPr>
      <t xml:space="preserve">흰 칸</t>
    </r>
    <r>
      <rPr>
        <sz val="10.5"/>
        <color rgb="FF55605B"/>
        <rFont val="Arial"/>
        <family val="0"/>
        <charset val="1"/>
      </rPr>
      <t xml:space="preserve">)</t>
    </r>
    <r>
      <rPr>
        <sz val="10.5"/>
        <color rgb="FF55605B"/>
        <rFont val="Noto Sans CJK SC"/>
        <family val="2"/>
      </rPr>
      <t xml:space="preserve">을 적으면 진행률이 자동 계산됩니다</t>
    </r>
    <r>
      <rPr>
        <sz val="10.5"/>
        <color rgb="FF55605B"/>
        <rFont val="Arial"/>
        <family val="0"/>
        <charset val="1"/>
      </rPr>
      <t xml:space="preserve">.</t>
    </r>
  </si>
  <si>
    <t xml:space="preserve">목표명</t>
  </si>
  <si>
    <t xml:space="preserve">목표금액</t>
  </si>
  <si>
    <t xml:space="preserve">목표일</t>
  </si>
  <si>
    <t xml:space="preserve">누적</t>
  </si>
  <si>
    <t xml:space="preserve">남은</t>
  </si>
  <si>
    <t xml:space="preserve">진행률</t>
  </si>
  <si>
    <t xml:space="preserve">진행바</t>
  </si>
  <si>
    <r>
      <rPr>
        <sz val="10"/>
        <color rgb="FF0000FF"/>
        <rFont val="Noto Sans CJK SC"/>
        <family val="2"/>
      </rPr>
      <t xml:space="preserve">비상금 </t>
    </r>
    <r>
      <rPr>
        <sz val="10"/>
        <color rgb="FF0000FF"/>
        <rFont val="Arial"/>
        <family val="0"/>
        <charset val="1"/>
      </rPr>
      <t xml:space="preserve">(6</t>
    </r>
    <r>
      <rPr>
        <sz val="10"/>
        <color rgb="FF0000FF"/>
        <rFont val="Noto Sans CJK SC"/>
        <family val="2"/>
      </rPr>
      <t xml:space="preserve">개월 생활비</t>
    </r>
    <r>
      <rPr>
        <sz val="10"/>
        <color rgb="FF0000FF"/>
        <rFont val="Arial"/>
        <family val="0"/>
        <charset val="1"/>
      </rPr>
      <t xml:space="preserve">)</t>
    </r>
  </si>
  <si>
    <t xml:space="preserve">2026-12</t>
  </si>
  <si>
    <r>
      <rPr>
        <sz val="10"/>
        <color rgb="FF0000FF"/>
        <rFont val="Noto Sans CJK SC"/>
        <family val="2"/>
      </rPr>
      <t xml:space="preserve">내집마련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전세보증금</t>
    </r>
    <r>
      <rPr>
        <sz val="10"/>
        <color rgb="FF0000FF"/>
        <rFont val="Arial"/>
        <family val="0"/>
        <charset val="1"/>
      </rPr>
      <t xml:space="preserve">)</t>
    </r>
  </si>
  <si>
    <t xml:space="preserve">2028-12</t>
  </si>
  <si>
    <t xml:space="preserve">2026-09</t>
  </si>
  <si>
    <t xml:space="preserve">자동차 교체</t>
  </si>
  <si>
    <t xml:space="preserve">2027-12</t>
  </si>
  <si>
    <r>
      <rPr>
        <sz val="10"/>
        <color rgb="FF0000FF"/>
        <rFont val="Noto Sans CJK SC"/>
        <family val="2"/>
      </rPr>
      <t xml:space="preserve">결혼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경조사</t>
    </r>
  </si>
  <si>
    <t xml:space="preserve">2027-06</t>
  </si>
  <si>
    <r>
      <rPr>
        <sz val="10"/>
        <color rgb="FF0000FF"/>
        <rFont val="Noto Sans CJK SC"/>
        <family val="2"/>
      </rPr>
      <t xml:space="preserve">자기계발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교육</t>
    </r>
  </si>
  <si>
    <t xml:space="preserve">노후 목돈</t>
  </si>
  <si>
    <t xml:space="preserve">2030-12</t>
  </si>
  <si>
    <t xml:space="preserve">순자산 트래커</t>
  </si>
  <si>
    <r>
      <rPr>
        <i val="true"/>
        <sz val="9.5"/>
        <color rgb="FF55605B"/>
        <rFont val="Noto Sans CJK SC"/>
        <family val="2"/>
      </rPr>
      <t xml:space="preserve">매월 자산</t>
    </r>
    <r>
      <rPr>
        <i val="true"/>
        <sz val="9.5"/>
        <color rgb="FF55605B"/>
        <rFont val="Arial"/>
        <family val="0"/>
        <charset val="1"/>
      </rPr>
      <t xml:space="preserve">·</t>
    </r>
    <r>
      <rPr>
        <i val="true"/>
        <sz val="9.5"/>
        <color rgb="FF55605B"/>
        <rFont val="Noto Sans CJK SC"/>
        <family val="2"/>
      </rPr>
      <t xml:space="preserve">부채를 기록하면 순자산 추이가 자동으로 그려집니다</t>
    </r>
    <r>
      <rPr>
        <i val="true"/>
        <sz val="9.5"/>
        <color rgb="FF55605B"/>
        <rFont val="Arial"/>
        <family val="0"/>
        <charset val="1"/>
      </rPr>
      <t xml:space="preserve">.</t>
    </r>
  </si>
  <si>
    <t xml:space="preserve">자산</t>
  </si>
  <si>
    <r>
      <rPr>
        <sz val="10"/>
        <color rgb="FF1B1915"/>
        <rFont val="Noto Sans CJK SC"/>
        <family val="2"/>
      </rPr>
      <t xml:space="preserve">현금</t>
    </r>
    <r>
      <rPr>
        <sz val="10"/>
        <color rgb="FF1B1915"/>
        <rFont val="Arial"/>
        <family val="0"/>
        <charset val="1"/>
      </rPr>
      <t xml:space="preserve">·</t>
    </r>
    <r>
      <rPr>
        <sz val="10"/>
        <color rgb="FF1B1915"/>
        <rFont val="Noto Sans CJK SC"/>
        <family val="2"/>
      </rPr>
      <t xml:space="preserve">예적금</t>
    </r>
  </si>
  <si>
    <t xml:space="preserve">주택청약</t>
  </si>
  <si>
    <r>
      <rPr>
        <sz val="10"/>
        <color rgb="FF1B1915"/>
        <rFont val="Noto Sans CJK SC"/>
        <family val="2"/>
      </rPr>
      <t xml:space="preserve">국내주식</t>
    </r>
    <r>
      <rPr>
        <sz val="10"/>
        <color rgb="FF1B1915"/>
        <rFont val="Arial"/>
        <family val="0"/>
        <charset val="1"/>
      </rPr>
      <t xml:space="preserve">·</t>
    </r>
    <r>
      <rPr>
        <sz val="10"/>
        <color rgb="FF1B1915"/>
        <rFont val="Noto Sans CJK SC"/>
        <family val="2"/>
      </rPr>
      <t xml:space="preserve">펀드</t>
    </r>
  </si>
  <si>
    <t xml:space="preserve">해외주식</t>
  </si>
  <si>
    <t xml:space="preserve">가상자산</t>
  </si>
  <si>
    <r>
      <rPr>
        <sz val="10"/>
        <color rgb="FF1B1915"/>
        <rFont val="Noto Sans CJK SC"/>
        <family val="2"/>
      </rPr>
      <t xml:space="preserve">연금</t>
    </r>
    <r>
      <rPr>
        <sz val="10"/>
        <color rgb="FF1B1915"/>
        <rFont val="Arial"/>
        <family val="0"/>
        <charset val="1"/>
      </rPr>
      <t xml:space="preserve">·IRP·ISA</t>
    </r>
  </si>
  <si>
    <t xml:space="preserve">전세보증금</t>
  </si>
  <si>
    <t xml:space="preserve">부동산</t>
  </si>
  <si>
    <t xml:space="preserve">자동차</t>
  </si>
  <si>
    <t xml:space="preserve">기타자산</t>
  </si>
  <si>
    <t xml:space="preserve">자산 합계</t>
  </si>
  <si>
    <t xml:space="preserve">부채</t>
  </si>
  <si>
    <t xml:space="preserve">주택담보대출</t>
  </si>
  <si>
    <t xml:space="preserve">전세자금대출</t>
  </si>
  <si>
    <t xml:space="preserve">신용대출</t>
  </si>
  <si>
    <t xml:space="preserve">마이너스통장</t>
  </si>
  <si>
    <t xml:space="preserve">학자금대출</t>
  </si>
  <si>
    <t xml:space="preserve">자동차 할부</t>
  </si>
  <si>
    <t xml:space="preserve">카드대금</t>
  </si>
  <si>
    <t xml:space="preserve">기타부채</t>
  </si>
  <si>
    <t xml:space="preserve">부채 합계</t>
  </si>
  <si>
    <t xml:space="preserve">순자산</t>
  </si>
  <si>
    <r>
      <rPr>
        <b val="true"/>
        <sz val="20"/>
        <color rgb="FF0E7A52"/>
        <rFont val="Noto Sans CJK SC"/>
        <family val="2"/>
      </rPr>
      <t xml:space="preserve">고정지출 </t>
    </r>
    <r>
      <rPr>
        <b val="true"/>
        <sz val="20"/>
        <color rgb="FF0E7A52"/>
        <rFont val="Arial"/>
        <family val="0"/>
        <charset val="1"/>
      </rPr>
      <t xml:space="preserve">· </t>
    </r>
    <r>
      <rPr>
        <b val="true"/>
        <sz val="20"/>
        <color rgb="FF0E7A52"/>
        <rFont val="Noto Sans CJK SC"/>
        <family val="2"/>
      </rPr>
      <t xml:space="preserve">구독 관리</t>
    </r>
  </si>
  <si>
    <r>
      <rPr>
        <sz val="10.5"/>
        <color rgb="FF55605B"/>
        <rFont val="Noto Sans CJK SC"/>
        <family val="2"/>
      </rPr>
      <t xml:space="preserve">매달 빠져나가는 고정비와 구독을 한곳에 모아 관리하세요</t>
    </r>
    <r>
      <rPr>
        <sz val="10.5"/>
        <color rgb="FF55605B"/>
        <rFont val="Arial"/>
        <family val="0"/>
        <charset val="1"/>
      </rPr>
      <t xml:space="preserve">. </t>
    </r>
    <r>
      <rPr>
        <sz val="10.5"/>
        <color rgb="FF55605B"/>
        <rFont val="Noto Sans CJK SC"/>
        <family val="2"/>
      </rPr>
      <t xml:space="preserve">결제주기를 ‘연’으로 두면 월 환산됩니다</t>
    </r>
    <r>
      <rPr>
        <sz val="10.5"/>
        <color rgb="FF55605B"/>
        <rFont val="Arial"/>
        <family val="0"/>
        <charset val="1"/>
      </rPr>
      <t xml:space="preserve">.</t>
    </r>
  </si>
  <si>
    <t xml:space="preserve">결제주기</t>
  </si>
  <si>
    <t xml:space="preserve">월 환산</t>
  </si>
  <si>
    <t xml:space="preserve">결제수단</t>
  </si>
  <si>
    <t xml:space="preserve">자동이체</t>
  </si>
  <si>
    <t xml:space="preserve">월세</t>
  </si>
  <si>
    <r>
      <rPr>
        <sz val="10"/>
        <color rgb="FF0000FF"/>
        <rFont val="Arial"/>
        <family val="0"/>
        <charset val="1"/>
      </rPr>
      <t xml:space="preserve">25</t>
    </r>
    <r>
      <rPr>
        <sz val="10"/>
        <color rgb="FF0000FF"/>
        <rFont val="Noto Sans CJK SC"/>
        <family val="2"/>
      </rPr>
      <t xml:space="preserve">일</t>
    </r>
  </si>
  <si>
    <t xml:space="preserve">계좌</t>
  </si>
  <si>
    <t xml:space="preserve">예</t>
  </si>
  <si>
    <r>
      <rPr>
        <sz val="10"/>
        <color rgb="FF0000FF"/>
        <rFont val="Arial"/>
        <family val="0"/>
        <charset val="1"/>
      </rPr>
      <t xml:space="preserve">30</t>
    </r>
    <r>
      <rPr>
        <sz val="10"/>
        <color rgb="FF0000FF"/>
        <rFont val="Noto Sans CJK SC"/>
        <family val="2"/>
      </rPr>
      <t xml:space="preserve">일</t>
    </r>
  </si>
  <si>
    <r>
      <rPr>
        <sz val="10"/>
        <color rgb="FF0000FF"/>
        <rFont val="Noto Sans CJK SC"/>
        <family val="2"/>
      </rPr>
      <t xml:space="preserve">통신비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휴대폰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</si>
  <si>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일</t>
    </r>
  </si>
  <si>
    <t xml:space="preserve">카드</t>
  </si>
  <si>
    <r>
      <rPr>
        <sz val="10"/>
        <color rgb="FF0000FF"/>
        <rFont val="Noto Sans CJK SC"/>
        <family val="2"/>
      </rPr>
      <t xml:space="preserve">인터넷</t>
    </r>
    <r>
      <rPr>
        <sz val="10"/>
        <color rgb="FF0000FF"/>
        <rFont val="Arial"/>
        <family val="0"/>
        <charset val="1"/>
      </rPr>
      <t xml:space="preserve">·TV</t>
    </r>
  </si>
  <si>
    <t xml:space="preserve">실손보험</t>
  </si>
  <si>
    <t xml:space="preserve">보험</t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</si>
  <si>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일</t>
    </r>
  </si>
  <si>
    <t xml:space="preserve">자동차보험</t>
  </si>
  <si>
    <t xml:space="preserve">연</t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</si>
  <si>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월</t>
    </r>
  </si>
  <si>
    <t xml:space="preserve">아니오</t>
  </si>
  <si>
    <t xml:space="preserve">넷플릭스</t>
  </si>
  <si>
    <t xml:space="preserve">구독</t>
  </si>
  <si>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일</t>
    </r>
  </si>
  <si>
    <t xml:space="preserve">유튜브 프리미엄</t>
  </si>
  <si>
    <t xml:space="preserve">쿠팡와우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</si>
  <si>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일</t>
    </r>
  </si>
  <si>
    <r>
      <rPr>
        <sz val="10"/>
        <color rgb="FF0000FF"/>
        <rFont val="Noto Sans CJK SC"/>
        <family val="2"/>
      </rPr>
      <t xml:space="preserve">클라우드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구글원</t>
    </r>
    <r>
      <rPr>
        <sz val="10"/>
        <color rgb="FF0000FF"/>
        <rFont val="Arial"/>
        <family val="0"/>
        <charset val="1"/>
      </rPr>
      <t xml:space="preserve">)</t>
    </r>
  </si>
  <si>
    <t xml:space="preserve">헬스장</t>
  </si>
  <si>
    <r>
      <rPr>
        <sz val="10"/>
        <color rgb="FF0000FF"/>
        <rFont val="Noto Sans CJK SC"/>
        <family val="2"/>
      </rPr>
      <t xml:space="preserve">도서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뉴스레터</t>
    </r>
  </si>
  <si>
    <r>
      <rPr>
        <sz val="10"/>
        <color rgb="FF0000FF"/>
        <rFont val="Arial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일</t>
    </r>
  </si>
  <si>
    <t xml:space="preserve">연 합계</t>
  </si>
  <si>
    <t xml:space="preserve">분류별 월 지출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</si>
</sst>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₩#,##0;[RED]&quot;-₩&quot;#,##0;\-"/>
    <numFmt numFmtId="166" formatCode="0.0%"/>
    <numFmt numFmtId="167" formatCode="\₩#,##0"/>
    <numFmt numFmtId="168" formatCode="0%"/>
    <numFmt numFmtId="169" formatCode="0\일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E7A52"/>
      <name val="Noto Sans CJK SC"/>
      <family val="2"/>
    </font>
    <font>
      <b val="true"/>
      <sz val="22"/>
      <color rgb="FF0E7A52"/>
      <name val="Arial"/>
      <family val="0"/>
      <charset val="1"/>
    </font>
    <font>
      <sz val="11"/>
      <color rgb="FF55605B"/>
      <name val="Noto Sans CJK SC"/>
      <family val="2"/>
    </font>
    <font>
      <sz val="11"/>
      <color rgb="FF55605B"/>
      <name val="Arial"/>
      <family val="0"/>
      <charset val="1"/>
    </font>
    <font>
      <b val="true"/>
      <sz val="11"/>
      <color rgb="FF0B5C3E"/>
      <name val="Arial"/>
      <family val="0"/>
      <charset val="1"/>
    </font>
    <font>
      <b val="true"/>
      <sz val="11"/>
      <color rgb="FF0B5C3E"/>
      <name val="Noto Sans CJK SC"/>
      <family val="2"/>
    </font>
    <font>
      <sz val="10.5"/>
      <color rgb="FF1B1915"/>
      <name val="Noto Sans CJK SC"/>
      <family val="2"/>
    </font>
    <font>
      <sz val="10.5"/>
      <color rgb="FF1B1915"/>
      <name val="Arial"/>
      <family val="0"/>
      <charset val="1"/>
    </font>
    <font>
      <i val="true"/>
      <sz val="9.5"/>
      <color rgb="FF55605B"/>
      <name val="Noto Sans CJK SC"/>
      <family val="2"/>
    </font>
    <font>
      <i val="true"/>
      <sz val="9.5"/>
      <color rgb="FF55605B"/>
      <name val="Arial"/>
      <family val="0"/>
      <charset val="1"/>
    </font>
    <font>
      <b val="true"/>
      <sz val="18"/>
      <color rgb="FF0E7A52"/>
      <name val="Noto Sans CJK SC"/>
      <family val="2"/>
    </font>
    <font>
      <b val="true"/>
      <sz val="18"/>
      <color rgb="FF0E7A52"/>
      <name val="Arial"/>
      <family val="0"/>
      <charset val="1"/>
    </font>
    <font>
      <sz val="10.5"/>
      <color rgb="FF55605B"/>
      <name val="Noto Sans CJK SC"/>
      <family val="2"/>
    </font>
    <font>
      <sz val="10.5"/>
      <color rgb="FF55605B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.5"/>
      <color rgb="FF55605B"/>
      <name val="Noto Sans CJK SC"/>
      <family val="2"/>
    </font>
    <font>
      <sz val="10.5"/>
      <color rgb="FF0B5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0E7A52"/>
      <name val="Noto Sans CJK SC"/>
      <family val="2"/>
    </font>
    <font>
      <b val="true"/>
      <sz val="20"/>
      <color rgb="FF0E7A52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3"/>
      <color rgb="FF0B5C3E"/>
      <name val="Arial"/>
      <family val="0"/>
      <charset val="1"/>
    </font>
    <font>
      <b val="true"/>
      <sz val="9.5"/>
      <color rgb="FF55605B"/>
      <name val="Arial"/>
      <family val="0"/>
      <charset val="1"/>
    </font>
    <font>
      <b val="true"/>
      <sz val="10"/>
      <color rgb="FF1B1915"/>
      <name val="Arial"/>
      <family val="0"/>
      <charset val="1"/>
    </font>
    <font>
      <b val="true"/>
      <sz val="10"/>
      <color rgb="FF1B1915"/>
      <name val="Noto Sans CJK SC"/>
      <family val="2"/>
    </font>
    <font>
      <sz val="10"/>
      <color rgb="FF1B1915"/>
      <name val="Arial"/>
      <family val="0"/>
      <charset val="1"/>
    </font>
    <font>
      <b val="true"/>
      <sz val="10.5"/>
      <color rgb="FF0B5C3E"/>
      <name val="Noto Sans CJK SC"/>
      <family val="2"/>
    </font>
    <font>
      <b val="true"/>
      <sz val="10.5"/>
      <color rgb="FF0B5C3E"/>
      <name val="Arial"/>
      <family val="0"/>
      <charset val="1"/>
    </font>
    <font>
      <b val="true"/>
      <sz val="8"/>
      <color rgb="FF55605B"/>
      <name val="Noto Sans CJK SC"/>
      <family val="2"/>
    </font>
    <font>
      <b val="true"/>
      <sz val="8"/>
      <color rgb="FF55605B"/>
      <name val="Arial"/>
      <family val="0"/>
      <charset val="1"/>
    </font>
    <font>
      <sz val="9"/>
      <color rgb="FF1B1915"/>
      <name val="Noto Sans CJK SC"/>
      <family val="2"/>
    </font>
    <font>
      <sz val="9"/>
      <color rgb="FF1B1915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55605B"/>
      <name val="Noto Sans CJK SC"/>
      <family val="2"/>
    </font>
    <font>
      <b val="true"/>
      <sz val="10"/>
      <color rgb="FF55605B"/>
      <name val="Arial"/>
      <family val="0"/>
      <charset val="1"/>
    </font>
    <font>
      <b val="true"/>
      <sz val="11"/>
      <color rgb="FF1B1915"/>
      <name val="Noto Sans CJK SC"/>
      <family val="2"/>
    </font>
    <font>
      <b val="true"/>
      <sz val="12"/>
      <color rgb="FF0B5C3E"/>
      <name val="Arial"/>
      <family val="0"/>
      <charset val="1"/>
    </font>
    <font>
      <b val="true"/>
      <sz val="9"/>
      <color rgb="FF55605B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1B1915"/>
      <name val="Noto Sans CJK SC"/>
      <family val="2"/>
    </font>
    <font>
      <sz val="10"/>
      <color rgb="FF0B5C3E"/>
      <name val="Arial"/>
      <family val="0"/>
      <charset val="1"/>
    </font>
    <font>
      <sz val="9"/>
      <color rgb="FF0E7A52"/>
      <name val="Arial"/>
      <family val="0"/>
      <charset val="1"/>
    </font>
    <font>
      <b val="true"/>
      <sz val="11"/>
      <color rgb="FF1B1915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9"/>
      <color rgb="FF55605B"/>
      <name val="Arial"/>
      <family val="0"/>
      <charset val="1"/>
    </font>
    <font>
      <sz val="9.5"/>
      <color rgb="FF1B1915"/>
      <name val="Arial"/>
      <family val="0"/>
      <charset val="1"/>
    </font>
    <font>
      <b val="true"/>
      <sz val="10"/>
      <color rgb="FF0B5C3E"/>
      <name val="Arial"/>
      <family val="0"/>
      <charset val="1"/>
    </font>
    <font>
      <b val="true"/>
      <sz val="9.5"/>
      <color rgb="FF0B5C3E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B5C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7A52"/>
        <bgColor rgb="FF0B5C3E"/>
      </patternFill>
    </fill>
    <fill>
      <patternFill patternType="solid">
        <fgColor rgb="FFE4F1EA"/>
        <bgColor rgb="FFEFF7F2"/>
      </patternFill>
    </fill>
    <fill>
      <patternFill patternType="solid">
        <fgColor rgb="FFFFFFFF"/>
        <bgColor rgb="FFEFF7F2"/>
      </patternFill>
    </fill>
    <fill>
      <patternFill patternType="solid">
        <fgColor rgb="FFEFF7F2"/>
        <bgColor rgb="FFE4F1EA"/>
      </patternFill>
    </fill>
    <fill>
      <patternFill patternType="solid">
        <fgColor rgb="FFCFE8DC"/>
        <bgColor rgb="FFD3E3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E3DA"/>
      </left>
      <right style="thin">
        <color rgb="FFD3E3DA"/>
      </right>
      <top style="thin">
        <color rgb="FFD3E3DA"/>
      </top>
      <bottom style="thin">
        <color rgb="FFD3E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8AA64F"/>
      <rgbColor rgb="FFFF00FF"/>
      <rgbColor rgb="FF00FFFF"/>
      <rgbColor rgb="FF800000"/>
      <rgbColor rgb="FF4672A8"/>
      <rgbColor rgb="FF000080"/>
      <rgbColor rgb="FF758E43"/>
      <rgbColor rgb="FFC0504D"/>
      <rgbColor rgb="FF0E7A52"/>
      <rgbColor rgb="FFBDC8DE"/>
      <rgbColor rgb="FF878787"/>
      <rgbColor rgb="FF93A9CE"/>
      <rgbColor rgb="FF923C3A"/>
      <rgbColor rgb="FFEFF7F2"/>
      <rgbColor rgb="FFE4F1EA"/>
      <rgbColor rgb="FF660066"/>
      <rgbColor rgb="FFDC853E"/>
      <rgbColor rgb="FF3C628F"/>
      <rgbColor rgb="FFD9D9D9"/>
      <rgbColor rgb="FF000080"/>
      <rgbColor rgb="FFFF00FF"/>
      <rgbColor rgb="FFFFFF00"/>
      <rgbColor rgb="FF00FFFF"/>
      <rgbColor rgb="FF8064A2"/>
      <rgbColor rgb="FF800000"/>
      <rgbColor rgb="FF398296"/>
      <rgbColor rgb="FF0000FF"/>
      <rgbColor rgb="FF4299B0"/>
      <rgbColor rgb="FFD3E3DA"/>
      <rgbColor rgb="FFCFE8DC"/>
      <rgbColor rgb="FFD1DEBE"/>
      <rgbColor rgb="FF92C3D5"/>
      <rgbColor rgb="FFD09493"/>
      <rgbColor rgb="FFE0BDBC"/>
      <rgbColor rgb="FFF8B590"/>
      <rgbColor rgb="FF4A7EBB"/>
      <rgbColor rgb="FF4BACC6"/>
      <rgbColor rgb="FF9BBB59"/>
      <rgbColor rgb="FFB8CD97"/>
      <rgbColor rgb="FFF79646"/>
      <rgbColor rgb="FFBB7235"/>
      <rgbColor rgb="FF725990"/>
      <rgbColor rgb="FFA99BBD"/>
      <rgbColor rgb="FF0B5C3E"/>
      <rgbColor rgb="FF3A9B6E"/>
      <rgbColor rgb="FF4F81BD"/>
      <rgbColor rgb="FF1B1915"/>
      <rgbColor rgb="FFC0392B"/>
      <rgbColor rgb="FFAB4744"/>
      <rgbColor rgb="FF614C7B"/>
      <rgbColor rgb="FF5560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27.xml"/>
</Relationships>
</file>

<file path=xl/charts/_rels/chart28.xml.rels><?xml version="1.0" encoding="UTF-8"?>
<Relationships xmlns="http://schemas.openxmlformats.org/package/2006/relationships"><Relationship Id="rId1" Type="http://schemas.microsoft.com/office/2011/relationships/chartStyle" Target="style28.xml"/><Relationship Id="rId2" Type="http://schemas.microsoft.com/office/2011/relationships/chartColorStyle" Target="colors28.xml"/>
</Relationships>
</file>

<file path=xl/charts/_rels/chart29.xml.rels><?xml version="1.0" encoding="UTF-8"?>
<Relationships xmlns="http://schemas.openxmlformats.org/package/2006/relationships"><Relationship Id="rId1" Type="http://schemas.microsoft.com/office/2011/relationships/chartStyle" Target="style29.xml"/><Relationship Id="rId2" Type="http://schemas.microsoft.com/office/2011/relationships/chartColorStyle" Target="colors29.xml"/>
</Relationships>
</file>

<file path=xl/charts/_rels/chart30.xml.rels><?xml version="1.0" encoding="UTF-8"?>
<Relationships xmlns="http://schemas.openxmlformats.org/package/2006/relationships"><Relationship Id="rId1" Type="http://schemas.microsoft.com/office/2011/relationships/chartStyle" Target="style30.xml"/><Relationship Id="rId2" Type="http://schemas.microsoft.com/office/2011/relationships/chartColorStyle" Target="colors30.xml"/>
</Relationships>
</file>

<file path=xl/charts/_rels/chart31.xml.rels><?xml version="1.0" encoding="UTF-8"?>
<Relationships xmlns="http://schemas.openxmlformats.org/package/2006/relationships"><Relationship Id="rId1" Type="http://schemas.microsoft.com/office/2011/relationships/chartStyle" Target="style31.xml"/><Relationship Id="rId2" Type="http://schemas.microsoft.com/office/2011/relationships/chartColorStyle" Target="colors31.xml"/>
</Relationships>
</file>

<file path=xl/charts/_rels/chart32.xml.rels><?xml version="1.0" encoding="UTF-8"?>
<Relationships xmlns="http://schemas.openxmlformats.org/package/2006/relationships"><Relationship Id="rId1" Type="http://schemas.microsoft.com/office/2011/relationships/chartStyle" Target="style32.xml"/><Relationship Id="rId2" Type="http://schemas.microsoft.com/office/2011/relationships/chartColorStyle" Target="colors32.xml"/>
</Relationships>
</file>

<file path=xl/charts/_rels/chart33.xml.rels><?xml version="1.0" encoding="UTF-8"?>
<Relationships xmlns="http://schemas.openxmlformats.org/package/2006/relationships"><Relationship Id="rId1" Type="http://schemas.microsoft.com/office/2011/relationships/chartStyle" Target="style33.xml"/><Relationship Id="rId2" Type="http://schemas.microsoft.com/office/2011/relationships/chartColorStyle" Target="colors33.xml"/>
</Relationships>
</file>

<file path=xl/charts/_rels/chart34.xml.rels><?xml version="1.0" encoding="UTF-8"?>
<Relationships xmlns="http://schemas.openxmlformats.org/package/2006/relationships"><Relationship Id="rId1" Type="http://schemas.microsoft.com/office/2011/relationships/chartStyle" Target="style34.xml"/><Relationship Id="rId2" Type="http://schemas.microsoft.com/office/2011/relationships/chartColorStyle" Target="colors34.xml"/>
</Relationships>
</file>

<file path=xl/charts/_rels/chart35.xml.rels><?xml version="1.0" encoding="UTF-8"?>
<Relationships xmlns="http://schemas.openxmlformats.org/package/2006/relationships"><Relationship Id="rId1" Type="http://schemas.microsoft.com/office/2011/relationships/chartStyle" Target="style35.xml"/><Relationship Id="rId2" Type="http://schemas.microsoft.com/office/2011/relationships/chartColorStyle" Target="colors35.xml"/>
</Relationships>
</file>

<file path=xl/charts/_rels/chart36.xml.rels><?xml version="1.0" encoding="UTF-8"?>
<Relationships xmlns="http://schemas.openxmlformats.org/package/2006/relationships"><Relationship Id="rId1" Type="http://schemas.microsoft.com/office/2011/relationships/chartStyle" Target="style36.xml"/><Relationship Id="rId2" Type="http://schemas.microsoft.com/office/2011/relationships/chartColorStyle" Target="colors36.xml"/>
</Relationships>
</file>

<file path=xl/charts/_rels/chart37.xml.rels><?xml version="1.0" encoding="UTF-8"?>
<Relationships xmlns="http://schemas.openxmlformats.org/package/2006/relationships"><Relationship Id="rId1" Type="http://schemas.microsoft.com/office/2011/relationships/chartStyle" Target="style37.xml"/><Relationship Id="rId2" Type="http://schemas.microsoft.com/office/2011/relationships/chartColorStyle" Target="colors37.xml"/>
</Relationships>
</file>

<file path=xl/charts/_rels/chart38.xml.rels><?xml version="1.0" encoding="UTF-8"?>
<Relationships xmlns="http://schemas.openxmlformats.org/package/2006/relationships"><Relationship Id="rId1" Type="http://schemas.microsoft.com/office/2011/relationships/chartStyle" Target="style38.xml"/><Relationship Id="rId2" Type="http://schemas.microsoft.com/office/2011/relationships/chartColorStyle" Target="colors38.xml"/>
</Relationships>
</file>

<file path=xl/charts/_rels/chart39.xml.rels><?xml version="1.0" encoding="UTF-8"?>
<Relationships xmlns="http://schemas.openxmlformats.org/package/2006/relationships"><Relationship Id="rId1" Type="http://schemas.microsoft.com/office/2011/relationships/chartStyle" Target="style39.xml"/><Relationship Id="rId2" Type="http://schemas.microsoft.com/office/2011/relationships/chartColorStyle" Target="colors39.xml"/>
</Relationships>
</file>

<file path=xl/charts/_rels/chart40.xml.rels><?xml version="1.0" encoding="UTF-8"?>
<Relationships xmlns="http://schemas.openxmlformats.org/package/2006/relationships"><Relationship Id="rId1" Type="http://schemas.microsoft.com/office/2011/relationships/chartStyle" Target="style40.xml"/><Relationship Id="rId2" Type="http://schemas.microsoft.com/office/2011/relationships/chartColorStyle" Target="colors40.xml"/>
</Relationships>
</file>

<file path=xl/charts/_rels/chart41.xml.rels><?xml version="1.0" encoding="UTF-8"?>
<Relationships xmlns="http://schemas.openxmlformats.org/package/2006/relationships"><Relationship Id="rId1" Type="http://schemas.microsoft.com/office/2011/relationships/chartStyle" Target="style41.xml"/><Relationship Id="rId2" Type="http://schemas.microsoft.com/office/2011/relationships/chartColorStyle" Target="colors41.xml"/>
</Relationships>
</file>

<file path=xl/charts/_rels/chart42.xml.rels><?xml version="1.0" encoding="UTF-8"?>
<Relationships xmlns="http://schemas.openxmlformats.org/package/2006/relationships"><Relationship Id="rId1" Type="http://schemas.microsoft.com/office/2011/relationships/chartStyle" Target="style42.xml"/><Relationship Id="rId2" Type="http://schemas.microsoft.com/office/2011/relationships/chartColorStyle" Target="colors42.xml"/>
</Relationships>
</file>

<file path=xl/charts/_rels/chart43.xml.rels><?xml version="1.0" encoding="UTF-8"?>
<Relationships xmlns="http://schemas.openxmlformats.org/package/2006/relationships"><Relationship Id="rId1" Type="http://schemas.microsoft.com/office/2011/relationships/chartStyle" Target="style43.xml"/><Relationship Id="rId2" Type="http://schemas.microsoft.com/office/2011/relationships/chartColorStyle" Target="colors43.xml"/>
</Relationships>
</file>

<file path=xl/charts/_rels/chart44.xml.rels><?xml version="1.0" encoding="UTF-8"?>
<Relationships xmlns="http://schemas.openxmlformats.org/package/2006/relationships"><Relationship Id="rId1" Type="http://schemas.microsoft.com/office/2011/relationships/chartStyle" Target="style44.xml"/><Relationship Id="rId2" Type="http://schemas.microsoft.com/office/2011/relationships/chartColorStyle" Target="colors44.xml"/>
</Relationships>
</file>

<file path=xl/charts/_rels/chart45.xml.rels><?xml version="1.0" encoding="UTF-8"?>
<Relationships xmlns="http://schemas.openxmlformats.org/package/2006/relationships"><Relationship Id="rId1" Type="http://schemas.microsoft.com/office/2011/relationships/chartStyle" Target="style45.xml"/><Relationship Id="rId2" Type="http://schemas.microsoft.com/office/2011/relationships/chartColorStyle" Target="colors4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월별 수입 vs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'연간 대시보드'!C7</c:f>
              <c:strCache>
                <c:ptCount val="1"/>
                <c:pt idx="0">
                  <c:v>수입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'연간 대시보드'!$B$8:$B$19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'연간 대시보드'!$C$8:$C$19</c:f>
              <c:numCache>
                <c:formatCode>\₩#,##0;[RED]"-₩"#,##0;\-</c:formatCode>
                <c:ptCount val="12"/>
                <c:pt idx="0">
                  <c:v>3950000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'연간 대시보드'!D7</c:f>
              <c:strCache>
                <c:ptCount val="1"/>
                <c:pt idx="0">
                  <c:v>지출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'연간 대시보드'!$B$8:$B$19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'연간 대시보드'!$D$8:$D$19</c:f>
              <c:numCache>
                <c:formatCode>\₩#,##0;[RED]"-₩"#,##0;\-</c:formatCode>
                <c:ptCount val="12"/>
                <c:pt idx="0">
                  <c:v>2478000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19836399"/>
        <c:axId val="78221452"/>
      </c:barChart>
      <c:catAx>
        <c:axId val="198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221452"/>
        <c:crosses val="autoZero"/>
        <c:auto val="1"/>
        <c:lblAlgn val="ctr"/>
        <c:lblOffset val="100"/>
        <c:noMultiLvlLbl val="0"/>
      </c:catAx>
      <c:valAx>
        <c:axId val="78221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363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저축률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'연간 대시보드'!G7</c:f>
              <c:strCache>
                <c:ptCount val="1"/>
                <c:pt idx="0">
                  <c:v>저축률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'연간 대시보드'!$B$8:$B$19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'연간 대시보드'!$G$8:$G$19</c:f>
              <c:numCache>
                <c:formatCode>0.0%</c:formatCode>
                <c:ptCount val="12"/>
                <c:pt idx="0">
                  <c:v>0.372658227848101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44663"/>
        <c:axId val="36058192"/>
      </c:lineChart>
      <c:catAx>
        <c:axId val="8074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058192"/>
        <c:crosses val="autoZero"/>
        <c:auto val="1"/>
        <c:lblAlgn val="ctr"/>
        <c:lblOffset val="100"/>
        <c:noMultiLvlLbl val="0"/>
      </c:catAx>
      <c:valAx>
        <c:axId val="3605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446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월별 남은 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'연간 대시보드'!$B$8:$B$19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'연간 대시보드'!$F$8:$F$19</c:f>
              <c:numCache>
                <c:formatCode>\₩#,##0;[RED]"-₩"#,##0;\-</c:formatCode>
                <c:ptCount val="12"/>
                <c:pt idx="0">
                  <c:v>372000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9017828"/>
        <c:axId val="90371108"/>
      </c:barChart>
      <c:catAx>
        <c:axId val="99017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371108"/>
        <c:crosses val="autoZero"/>
        <c:auto val="1"/>
        <c:lblAlgn val="ctr"/>
        <c:lblOffset val="100"/>
        <c:noMultiLvlLbl val="0"/>
      </c:catAx>
      <c:valAx>
        <c:axId val="90371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0178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연간 지출·저축 구성 (고정+변동+저축)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'연간 대시보드'!$M$44:$M$46</c:f>
              <c:strCache>
                <c:ptCount val="3"/>
                <c:pt idx="0">
                  <c:v>고정지출</c:v>
                </c:pt>
                <c:pt idx="1">
                  <c:v>변동지출</c:v>
                </c:pt>
                <c:pt idx="2">
                  <c:v>저축·투자</c:v>
                </c:pt>
              </c:strCache>
            </c:strRef>
          </c:cat>
          <c:val>
            <c:numRef>
              <c:f>'연간 대시보드'!$N$44:$N$46</c:f>
              <c:numCache>
                <c:formatCode>\₩#,##0;[RED]"-₩"#,##0;\-</c:formatCode>
                <c:ptCount val="3"/>
                <c:pt idx="0">
                  <c:v>1769000</c:v>
                </c:pt>
                <c:pt idx="1">
                  <c:v>709000</c:v>
                </c:pt>
                <c:pt idx="2">
                  <c:v>1100000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'1월'!$W$2:$W$28</c:f>
              <c:numCache>
                <c:formatCode>\₩#,##0;[RED]"-₩"#,##0;\-</c:formatCode>
                <c:ptCount val="27"/>
                <c:pt idx="0">
                  <c:v>183000</c:v>
                </c:pt>
                <c:pt idx="1">
                  <c:v>96000</c:v>
                </c:pt>
                <c:pt idx="2">
                  <c:v>23000</c:v>
                </c:pt>
                <c:pt idx="3">
                  <c:v>70000</c:v>
                </c:pt>
                <c:pt idx="4">
                  <c:v>12000</c:v>
                </c:pt>
                <c:pt idx="5">
                  <c:v>45000</c:v>
                </c:pt>
                <c:pt idx="6">
                  <c:v>39000</c:v>
                </c:pt>
                <c:pt idx="7">
                  <c:v>28000</c:v>
                </c:pt>
                <c:pt idx="8">
                  <c:v>50000</c:v>
                </c:pt>
                <c:pt idx="9">
                  <c:v>0</c:v>
                </c:pt>
                <c:pt idx="10">
                  <c:v>0</c:v>
                </c:pt>
                <c:pt idx="11">
                  <c:v>120000</c:v>
                </c:pt>
                <c:pt idx="12">
                  <c:v>13000</c:v>
                </c:pt>
                <c:pt idx="13">
                  <c:v>30000</c:v>
                </c:pt>
                <c:pt idx="14">
                  <c:v>0</c:v>
                </c:pt>
                <c:pt idx="15">
                  <c:v>600000</c:v>
                </c:pt>
                <c:pt idx="16">
                  <c:v>150000</c:v>
                </c:pt>
                <c:pt idx="17">
                  <c:v>88000</c:v>
                </c:pt>
                <c:pt idx="18">
                  <c:v>120000</c:v>
                </c:pt>
                <c:pt idx="19">
                  <c:v>29000</c:v>
                </c:pt>
                <c:pt idx="20">
                  <c:v>62000</c:v>
                </c:pt>
                <c:pt idx="21">
                  <c:v>300000</c:v>
                </c:pt>
                <c:pt idx="22">
                  <c:v>100000</c:v>
                </c:pt>
                <c:pt idx="23">
                  <c:v>180000</c:v>
                </c:pt>
                <c:pt idx="24">
                  <c:v>140000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'1월'!T4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'1월'!$T$5:$T$7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2478000</c:v>
                </c:pt>
                <c:pt idx="2">
                  <c:v>1100000</c:v>
                </c:pt>
              </c:numCache>
            </c:numRef>
          </c:val>
        </c:ser>
        <c:gapWidth val="60"/>
        <c:overlap val="0"/>
        <c:axId val="89519015"/>
        <c:axId val="13374048"/>
      </c:barChart>
      <c:catAx>
        <c:axId val="8951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74048"/>
        <c:crosses val="autoZero"/>
        <c:auto val="1"/>
        <c:lblAlgn val="ctr"/>
        <c:lblOffset val="100"/>
        <c:noMultiLvlLbl val="0"/>
      </c:catAx>
      <c:valAx>
        <c:axId val="13374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5190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'1월'!$S$9:$S$10</c:f>
              <c:numCache>
                <c:formatCode>\₩#,##0;[RED]"-₩"#,##0;\-</c:formatCode>
                <c:ptCount val="2"/>
                <c:pt idx="0">
                  <c:v>1769000</c:v>
                </c:pt>
                <c:pt idx="1">
                  <c:v>709000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'2월'!$V$2:$V$28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'2월'!$W$2:$W$28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'2월'!$S$5:$S$7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'2월'!T4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'2월'!$T$5:$T$7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22567416"/>
        <c:axId val="11335509"/>
      </c:barChart>
      <c:catAx>
        <c:axId val="2256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35509"/>
        <c:crosses val="autoZero"/>
        <c:auto val="1"/>
        <c:lblAlgn val="ctr"/>
        <c:lblOffset val="100"/>
        <c:noMultiLvlLbl val="0"/>
      </c:catAx>
      <c:valAx>
        <c:axId val="11335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674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'2월'!$R$9:$R$10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'2월'!$S$9:$S$10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'3월'!$V$2:$V$28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'3월'!$W$2:$W$28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'3월'!$S$5:$S$7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'3월'!T4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'3월'!$T$5:$T$7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83776130"/>
        <c:axId val="10001809"/>
      </c:barChart>
      <c:catAx>
        <c:axId val="83776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001809"/>
        <c:crosses val="autoZero"/>
        <c:auto val="1"/>
        <c:lblAlgn val="ctr"/>
        <c:lblOffset val="100"/>
        <c:noMultiLvlLbl val="0"/>
      </c:catAx>
      <c:valAx>
        <c:axId val="10001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7761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'3월'!$R$9:$R$10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'3월'!$S$9:$S$10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'4월'!$V$2:$V$28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'4월'!$W$2:$W$28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'4월'!$S$5:$S$7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'4월'!T4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'4월'!$T$5:$T$7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29729879"/>
        <c:axId val="87720574"/>
      </c:barChart>
      <c:catAx>
        <c:axId val="29729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720574"/>
        <c:crosses val="autoZero"/>
        <c:auto val="1"/>
        <c:lblAlgn val="ctr"/>
        <c:lblOffset val="100"/>
        <c:noMultiLvlLbl val="0"/>
      </c:catAx>
      <c:valAx>
        <c:axId val="87720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7298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'4월'!$R$9:$R$10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'4월'!$S$9:$S$10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'5월'!$V$2:$V$28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'5월'!$W$2:$W$28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'5월'!$S$5:$S$7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'5월'!T4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'5월'!$T$5:$T$7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6783969"/>
        <c:axId val="78092761"/>
      </c:barChart>
      <c:catAx>
        <c:axId val="6783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092761"/>
        <c:crosses val="autoZero"/>
        <c:auto val="1"/>
        <c:lblAlgn val="ctr"/>
        <c:lblOffset val="100"/>
        <c:noMultiLvlLbl val="0"/>
      </c:catAx>
      <c:valAx>
        <c:axId val="78092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839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'5월'!$R$9:$R$10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'5월'!$S$9:$S$10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'6월'!$V$2:$V$28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'6월'!$W$2:$W$28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'6월'!S4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'6월'!$S$5:$S$7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'6월'!T4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'6월'!$T$5:$T$7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37508325"/>
        <c:axId val="32752389"/>
      </c:barChart>
      <c:catAx>
        <c:axId val="37508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52389"/>
        <c:crosses val="autoZero"/>
        <c:auto val="1"/>
        <c:lblAlgn val="ctr"/>
        <c:lblOffset val="100"/>
        <c:noMultiLvlLbl val="0"/>
      </c:catAx>
      <c:valAx>
        <c:axId val="32752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083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'6월'!$R$9:$R$10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'6월'!$S$9:$S$10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'7월'!$V$2:$V$28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'7월'!$W$2:$W$28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'7월'!$S$5:$S$7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'7월'!T4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'7월'!$T$5:$T$7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98617285"/>
        <c:axId val="8560939"/>
      </c:barChart>
      <c:catAx>
        <c:axId val="986172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0939"/>
        <c:crosses val="autoZero"/>
        <c:auto val="1"/>
        <c:lblAlgn val="ctr"/>
        <c:lblOffset val="100"/>
        <c:noMultiLvlLbl val="0"/>
      </c:catAx>
      <c:valAx>
        <c:axId val="8560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172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'7월'!$R$9:$R$10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'7월'!$S$9:$S$10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'8월'!$V$2:$V$28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'8월'!$W$2:$W$28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'8월'!$S$5:$S$7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'8월'!T4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'8월'!$T$5:$T$7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49017548"/>
        <c:axId val="99727028"/>
      </c:barChart>
      <c:catAx>
        <c:axId val="49017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27028"/>
        <c:crosses val="autoZero"/>
        <c:auto val="1"/>
        <c:lblAlgn val="ctr"/>
        <c:lblOffset val="100"/>
        <c:noMultiLvlLbl val="0"/>
      </c:catAx>
      <c:valAx>
        <c:axId val="99727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175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'8월'!$R$9:$R$10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'8월'!$S$9:$S$10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'9월'!$V$2:$V$28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'9월'!$W$2:$W$28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'9월'!S4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'9월'!$S$5:$S$7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'9월'!T4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'9월'!$T$5:$T$7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37878782"/>
        <c:axId val="71317517"/>
      </c:barChart>
      <c:catAx>
        <c:axId val="37878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17517"/>
        <c:crosses val="autoZero"/>
        <c:auto val="1"/>
        <c:lblAlgn val="ctr"/>
        <c:lblOffset val="100"/>
        <c:noMultiLvlLbl val="0"/>
      </c:catAx>
      <c:valAx>
        <c:axId val="71317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78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'9월'!$R$9:$R$10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'9월'!$S$9:$S$10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'10월'!$V$2:$V$28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'10월'!$W$2:$W$28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'10월'!S4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'10월'!$S$5:$S$7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'10월'!T4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'10월'!$T$5:$T$7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73257378"/>
        <c:axId val="1500744"/>
      </c:barChart>
      <c:catAx>
        <c:axId val="73257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0744"/>
        <c:crosses val="autoZero"/>
        <c:auto val="1"/>
        <c:lblAlgn val="ctr"/>
        <c:lblOffset val="100"/>
        <c:noMultiLvlLbl val="0"/>
      </c:catAx>
      <c:valAx>
        <c:axId val="1500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2573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'10월'!$R$9:$R$10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'10월'!$S$9:$S$10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'11월'!$V$2:$V$28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'11월'!$W$2:$W$28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'11월'!$S$5:$S$7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'11월'!T4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'11월'!$T$5:$T$7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48085273"/>
        <c:axId val="59586170"/>
      </c:barChart>
      <c:catAx>
        <c:axId val="48085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586170"/>
        <c:crosses val="autoZero"/>
        <c:auto val="1"/>
        <c:lblAlgn val="ctr"/>
        <c:lblOffset val="100"/>
        <c:noMultiLvlLbl val="0"/>
      </c:catAx>
      <c:valAx>
        <c:axId val="59586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0852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'11월'!$R$9:$R$10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'11월'!$S$9:$S$10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 지출 구성 (고정+변동)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C628F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23C3A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58E43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14C7B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9829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BB7235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19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20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21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22"/>
            <c:spPr>
              <a:solidFill>
                <a:srgbClr val="92C3D5"/>
              </a:solidFill>
              <a:ln w="12600">
                <a:noFill/>
              </a:ln>
            </c:spPr>
          </c:dPt>
          <c:dPt>
            <c:idx val="23"/>
            <c:spPr>
              <a:solidFill>
                <a:srgbClr val="F8B590"/>
              </a:solidFill>
              <a:ln w="12600">
                <a:noFill/>
              </a:ln>
            </c:spPr>
          </c:dPt>
          <c:dPt>
            <c:idx val="24"/>
            <c:spPr>
              <a:solidFill>
                <a:srgbClr val="BDC8DE"/>
              </a:solidFill>
              <a:ln w="12600">
                <a:noFill/>
              </a:ln>
            </c:spPr>
          </c:dPt>
          <c:dPt>
            <c:idx val="25"/>
            <c:spPr>
              <a:solidFill>
                <a:srgbClr val="E0BDBC"/>
              </a:solidFill>
              <a:ln w="12600">
                <a:noFill/>
              </a:ln>
            </c:spPr>
          </c:dPt>
          <c:dPt>
            <c:idx val="26"/>
            <c:spPr>
              <a:solidFill>
                <a:srgbClr val="D1DEB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'12월'!$V$2:$V$28</c:f>
              <c:strCache>
                <c:ptCount val="27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  <c:pt idx="15">
                  <c:v>월세 / 주택대출 상환</c:v>
                </c:pt>
                <c:pt idx="16">
                  <c:v>관리비</c:v>
                </c:pt>
                <c:pt idx="17">
                  <c:v>통신비 (휴대폰·인터넷)</c:v>
                </c:pt>
                <c:pt idx="18">
                  <c:v>보험료</c:v>
                </c:pt>
                <c:pt idx="19">
                  <c:v>구독 서비스</c:v>
                </c:pt>
                <c:pt idx="20">
                  <c:v>교통 정기권</c:v>
                </c:pt>
                <c:pt idx="21">
                  <c:v>적금</c:v>
                </c:pt>
                <c:pt idx="22">
                  <c:v>청약저축</c:v>
                </c:pt>
                <c:pt idx="23">
                  <c:v>대출 이자</c:v>
                </c:pt>
                <c:pt idx="24">
                  <c:v>공과금 (전기·가스·수도)</c:v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'12월'!$W$2:$W$28</c:f>
              <c:numCache>
                <c:formatCode>\₩#,##0;[RED]"-₩"#,##0;\-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예산 vs 실제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'12월'!S4</c:f>
              <c:strCache>
                <c:ptCount val="1"/>
                <c:pt idx="0">
                  <c:v>예산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'12월'!$S$5:$S$7</c:f>
              <c:numCache>
                <c:formatCode>\₩#,##0;[RED]"-₩"#,##0;\-</c:formatCode>
                <c:ptCount val="3"/>
                <c:pt idx="0">
                  <c:v>3950000</c:v>
                </c:pt>
                <c:pt idx="1">
                  <c:v>3179000</c:v>
                </c:pt>
                <c:pt idx="2">
                  <c:v>1100000</c:v>
                </c:pt>
              </c:numCache>
            </c:numRef>
          </c:val>
        </c:ser>
        <c:ser>
          <c:idx val="1"/>
          <c:order val="1"/>
          <c:tx>
            <c:strRef>
              <c:f>'12월'!T4</c:f>
              <c:strCache>
                <c:ptCount val="1"/>
                <c:pt idx="0">
                  <c:v>실제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'12월'!$R$5:$R$7</c:f>
              <c:strCache>
                <c:ptCount val="3"/>
                <c:pt idx="0">
                  <c:v>수입</c:v>
                </c:pt>
                <c:pt idx="1">
                  <c:v>지출</c:v>
                </c:pt>
                <c:pt idx="2">
                  <c:v>저축</c:v>
                </c:pt>
              </c:strCache>
            </c:strRef>
          </c:cat>
          <c:val>
            <c:numRef>
              <c:f>'12월'!$T$5:$T$7</c:f>
              <c:numCache>
                <c:formatCode>\₩#,##0;[RED]"-₩"#,##0;\-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62916131"/>
        <c:axId val="41657967"/>
      </c:barChart>
      <c:catAx>
        <c:axId val="62916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657967"/>
        <c:crosses val="autoZero"/>
        <c:auto val="1"/>
        <c:lblAlgn val="ctr"/>
        <c:lblOffset val="100"/>
        <c:noMultiLvlLbl val="0"/>
      </c:catAx>
      <c:valAx>
        <c:axId val="41657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9161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고정 vs 변동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'12월'!$R$9:$R$10</c:f>
              <c:strCache>
                <c:ptCount val="2"/>
                <c:pt idx="0">
                  <c:v>고정지출</c:v>
                </c:pt>
                <c:pt idx="1">
                  <c:v>변동지출</c:v>
                </c:pt>
              </c:strCache>
            </c:strRef>
          </c:cat>
          <c:val>
            <c:numRef>
              <c:f>'12월'!$S$9:$S$10</c:f>
              <c:numCache>
                <c:formatCode>\₩#,##0;[RED]"-₩"#,##0;\-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연간 변동지출 (카테고리별)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'카테고리 개요'!$B$6:$B$20</c:f>
              <c:strCache>
                <c:ptCount val="15"/>
                <c:pt idx="0">
                  <c:v>식비 (장보기)</c:v>
                </c:pt>
                <c:pt idx="1">
                  <c:v>외식 / 카페</c:v>
                </c:pt>
                <c:pt idx="2">
                  <c:v>생활용품</c:v>
                </c:pt>
                <c:pt idx="3">
                  <c:v>교통 / 차량</c:v>
                </c:pt>
                <c:pt idx="4">
                  <c:v>의료 / 건강</c:v>
                </c:pt>
                <c:pt idx="5">
                  <c:v>의류 / 미용</c:v>
                </c:pt>
                <c:pt idx="6">
                  <c:v>교육 / 자기계발</c:v>
                </c:pt>
                <c:pt idx="7">
                  <c:v>문화 / 여가</c:v>
                </c:pt>
                <c:pt idx="8">
                  <c:v>경조사 / 선물</c:v>
                </c:pt>
                <c:pt idx="9">
                  <c:v>자녀 / 육아</c:v>
                </c:pt>
                <c:pt idx="10">
                  <c:v>반려동물</c:v>
                </c:pt>
                <c:pt idx="11">
                  <c:v>여행</c:v>
                </c:pt>
                <c:pt idx="12">
                  <c:v>통신 / 디지털</c:v>
                </c:pt>
                <c:pt idx="13">
                  <c:v>기부 / 후원</c:v>
                </c:pt>
                <c:pt idx="14">
                  <c:v>기타</c:v>
                </c:pt>
              </c:strCache>
            </c:strRef>
          </c:cat>
          <c:val>
            <c:numRef>
              <c:f>'카테고리 개요'!$O$6:$O$20</c:f>
              <c:numCache>
                <c:formatCode>\₩#,##0;[RED]"-₩"#,##0;\-</c:formatCode>
                <c:ptCount val="15"/>
                <c:pt idx="0">
                  <c:v>183000</c:v>
                </c:pt>
                <c:pt idx="1">
                  <c:v>96000</c:v>
                </c:pt>
                <c:pt idx="2">
                  <c:v>23000</c:v>
                </c:pt>
                <c:pt idx="3">
                  <c:v>70000</c:v>
                </c:pt>
                <c:pt idx="4">
                  <c:v>12000</c:v>
                </c:pt>
                <c:pt idx="5">
                  <c:v>45000</c:v>
                </c:pt>
                <c:pt idx="6">
                  <c:v>39000</c:v>
                </c:pt>
                <c:pt idx="7">
                  <c:v>28000</c:v>
                </c:pt>
                <c:pt idx="8">
                  <c:v>50000</c:v>
                </c:pt>
                <c:pt idx="9">
                  <c:v>0</c:v>
                </c:pt>
                <c:pt idx="10">
                  <c:v>0</c:v>
                </c:pt>
                <c:pt idx="11">
                  <c:v>120000</c:v>
                </c:pt>
                <c:pt idx="12">
                  <c:v>13000</c:v>
                </c:pt>
                <c:pt idx="13">
                  <c:v>30000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82096559"/>
        <c:axId val="10559114"/>
      </c:barChart>
      <c:catAx>
        <c:axId val="8209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59114"/>
        <c:crosses val="autoZero"/>
        <c:auto val="1"/>
        <c:lblAlgn val="ctr"/>
        <c:lblOffset val="100"/>
        <c:noMultiLvlLbl val="0"/>
      </c:catAx>
      <c:valAx>
        <c:axId val="10559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965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월별 총 변동지출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'카테고리 개요'!$C$5:$N$5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'카테고리 개요'!$C$21:$N$21</c:f>
              <c:numCache>
                <c:formatCode>\₩#,##0;[RED]"-₩"#,##0;\-</c:formatCode>
                <c:ptCount val="12"/>
                <c:pt idx="0">
                  <c:v>709000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154695"/>
        <c:axId val="61019738"/>
      </c:lineChart>
      <c:catAx>
        <c:axId val="6015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019738"/>
        <c:crosses val="autoZero"/>
        <c:auto val="1"/>
        <c:lblAlgn val="ctr"/>
        <c:lblOffset val="100"/>
        <c:noMultiLvlLbl val="0"/>
      </c:catAx>
      <c:valAx>
        <c:axId val="610197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546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목표별 누적 vs 목표금액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'저축 목표'!Q5</c:f>
              <c:strCache>
                <c:ptCount val="1"/>
                <c:pt idx="0">
                  <c:v>누적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'저축 목표'!$B$6:$B$13</c:f>
              <c:strCache>
                <c:ptCount val="8"/>
                <c:pt idx="0">
                  <c:v>비상금 (6개월 생활비)</c:v>
                </c:pt>
                <c:pt idx="1">
                  <c:v>내집마련 (전세보증금)</c:v>
                </c:pt>
                <c:pt idx="2">
                  <c:v>여행 자금</c:v>
                </c:pt>
                <c:pt idx="3">
                  <c:v>자동차 교체</c:v>
                </c:pt>
                <c:pt idx="4">
                  <c:v>결혼·경조사</c:v>
                </c:pt>
                <c:pt idx="5">
                  <c:v>자기계발·교육</c:v>
                </c:pt>
                <c:pt idx="6">
                  <c:v>노후 목돈</c:v>
                </c:pt>
                <c:pt idx="7">
                  <c:v/>
                </c:pt>
              </c:strCache>
            </c:strRef>
          </c:cat>
          <c:val>
            <c:numRef>
              <c:f>'저축 목표'!$Q$6:$Q$13</c:f>
              <c:numCache>
                <c:formatCode>\₩#,##0;[RED]"-₩"#,##0;\-</c:formatCode>
                <c:ptCount val="8"/>
                <c:pt idx="0">
                  <c:v>1800000</c:v>
                </c:pt>
                <c:pt idx="1">
                  <c:v>3000000</c:v>
                </c:pt>
                <c:pt idx="2">
                  <c:v>1200000</c:v>
                </c:pt>
                <c:pt idx="3">
                  <c:v>1500000</c:v>
                </c:pt>
                <c:pt idx="4">
                  <c:v>900000</c:v>
                </c:pt>
                <c:pt idx="5">
                  <c:v>480000</c:v>
                </c:pt>
                <c:pt idx="6">
                  <c:v>1200000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'저축 목표'!C5</c:f>
              <c:strCache>
                <c:ptCount val="1"/>
                <c:pt idx="0">
                  <c:v>목표금액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'저축 목표'!$B$6:$B$13</c:f>
              <c:strCache>
                <c:ptCount val="8"/>
                <c:pt idx="0">
                  <c:v>비상금 (6개월 생활비)</c:v>
                </c:pt>
                <c:pt idx="1">
                  <c:v>내집마련 (전세보증금)</c:v>
                </c:pt>
                <c:pt idx="2">
                  <c:v>여행 자금</c:v>
                </c:pt>
                <c:pt idx="3">
                  <c:v>자동차 교체</c:v>
                </c:pt>
                <c:pt idx="4">
                  <c:v>결혼·경조사</c:v>
                </c:pt>
                <c:pt idx="5">
                  <c:v>자기계발·교육</c:v>
                </c:pt>
                <c:pt idx="6">
                  <c:v>노후 목돈</c:v>
                </c:pt>
                <c:pt idx="7">
                  <c:v/>
                </c:pt>
              </c:strCache>
            </c:strRef>
          </c:cat>
          <c:val>
            <c:numRef>
              <c:f>'저축 목표'!$C$6:$C$13</c:f>
              <c:numCache>
                <c:formatCode>\₩#,##0;[RED]"-₩"#,##0;\-</c:formatCode>
                <c:ptCount val="8"/>
                <c:pt idx="0">
                  <c:v>9000000</c:v>
                </c:pt>
                <c:pt idx="1">
                  <c:v>50000000</c:v>
                </c:pt>
                <c:pt idx="2">
                  <c:v>3000000</c:v>
                </c:pt>
                <c:pt idx="3">
                  <c:v>15000000</c:v>
                </c:pt>
                <c:pt idx="4">
                  <c:v>5000000</c:v>
                </c:pt>
                <c:pt idx="5">
                  <c:v>1500000</c:v>
                </c:pt>
                <c:pt idx="6">
                  <c:v>20000000</c:v>
                </c:pt>
              </c:numCache>
            </c:numRef>
          </c:val>
        </c:ser>
        <c:gapWidth val="150"/>
        <c:overlap val="0"/>
        <c:axId val="79055987"/>
        <c:axId val="13066255"/>
      </c:barChart>
      <c:catAx>
        <c:axId val="79055987"/>
        <c:scaling>
          <c:orientation val="minMax"/>
        </c:scaling>
        <c:delete val="0"/>
        <c:axPos val="b"/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66255"/>
        <c:crosses val="autoZero"/>
        <c:auto val="1"/>
        <c:lblAlgn val="ctr"/>
        <c:lblOffset val="100"/>
        <c:noMultiLvlLbl val="0"/>
      </c:catAx>
      <c:valAx>
        <c:axId val="13066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;[RED]&quot;-₩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559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순자산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순자산!B28</c:f>
              <c:strCache>
                <c:ptCount val="1"/>
                <c:pt idx="0">
                  <c:v>순자산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순자산!$C$5:$N$5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순자산!$C$28:$N$28</c:f>
              <c:numCache>
                <c:formatCode>\₩#,##0;[RED]"-₩"#,##0;\-</c:formatCode>
                <c:ptCount val="12"/>
                <c:pt idx="0">
                  <c:v>77500000</c:v>
                </c:pt>
                <c:pt idx="1">
                  <c:v>81940000</c:v>
                </c:pt>
                <c:pt idx="2">
                  <c:v>86380000</c:v>
                </c:pt>
                <c:pt idx="3">
                  <c:v>90820000</c:v>
                </c:pt>
                <c:pt idx="4">
                  <c:v>95260000</c:v>
                </c:pt>
                <c:pt idx="5">
                  <c:v>99700000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82906"/>
        <c:axId val="11922840"/>
      </c:lineChart>
      <c:catAx>
        <c:axId val="1882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22840"/>
        <c:crosses val="autoZero"/>
        <c:auto val="1"/>
        <c:lblAlgn val="ctr"/>
        <c:lblOffset val="100"/>
        <c:noMultiLvlLbl val="0"/>
      </c:catAx>
      <c:valAx>
        <c:axId val="11922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₩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829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분류별 월 지출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고정지출·구독!$B$30:$B$33</c:f>
              <c:strCache>
                <c:ptCount val="4"/>
                <c:pt idx="0">
                  <c:v>고정지출</c:v>
                </c:pt>
                <c:pt idx="1">
                  <c:v>보험</c:v>
                </c:pt>
                <c:pt idx="2">
                  <c:v>구독</c:v>
                </c:pt>
                <c:pt idx="3">
                  <c:v>기타</c:v>
                </c:pt>
              </c:strCache>
            </c:strRef>
          </c:cat>
          <c:val>
            <c:numRef>
              <c:f>고정지출·구독!$C$30:$C$33</c:f>
              <c:numCache>
                <c:formatCode>\₩#,##0;[RED]"-₩"#,##0;\-</c:formatCode>
                <c:ptCount val="4"/>
                <c:pt idx="0">
                  <c:v>838000</c:v>
                </c:pt>
                <c:pt idx="1">
                  <c:v>125000</c:v>
                </c:pt>
                <c:pt idx="2">
                  <c:v>121090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43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44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4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7</xdr:col>
      <xdr:colOff>402840</xdr:colOff>
      <xdr:row>36</xdr:row>
      <xdr:rowOff>32760</xdr:rowOff>
    </xdr:to>
    <xdr:graphicFrame>
      <xdr:nvGraphicFramePr>
        <xdr:cNvPr id="1" name="Chart 1"/>
        <xdr:cNvGraphicFramePr/>
      </xdr:nvGraphicFramePr>
      <xdr:xfrm>
        <a:off x="141120" y="4520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707760</xdr:colOff>
      <xdr:row>36</xdr:row>
      <xdr:rowOff>32760</xdr:rowOff>
    </xdr:to>
    <xdr:graphicFrame>
      <xdr:nvGraphicFramePr>
        <xdr:cNvPr id="2" name="Chart 2"/>
        <xdr:cNvGraphicFramePr/>
      </xdr:nvGraphicFramePr>
      <xdr:xfrm>
        <a:off x="5497920" y="45205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7</xdr:col>
      <xdr:colOff>402840</xdr:colOff>
      <xdr:row>53</xdr:row>
      <xdr:rowOff>32760</xdr:rowOff>
    </xdr:to>
    <xdr:graphicFrame>
      <xdr:nvGraphicFramePr>
        <xdr:cNvPr id="3" name="Chart 3"/>
        <xdr:cNvGraphicFramePr/>
      </xdr:nvGraphicFramePr>
      <xdr:xfrm>
        <a:off x="141120" y="77590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12</xdr:col>
      <xdr:colOff>402840</xdr:colOff>
      <xdr:row>53</xdr:row>
      <xdr:rowOff>32760</xdr:rowOff>
    </xdr:to>
    <xdr:graphicFrame>
      <xdr:nvGraphicFramePr>
        <xdr:cNvPr id="4" name="Chart 4"/>
        <xdr:cNvGraphicFramePr/>
      </xdr:nvGraphicFramePr>
      <xdr:xfrm>
        <a:off x="5497920" y="77590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5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6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7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8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9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10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11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12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13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14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15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16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17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18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19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20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21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22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23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24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25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26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27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28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29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30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31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32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33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34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35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36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37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21</xdr:row>
      <xdr:rowOff>0</xdr:rowOff>
    </xdr:from>
    <xdr:to>
      <xdr:col>15</xdr:col>
      <xdr:colOff>788040</xdr:colOff>
      <xdr:row>33</xdr:row>
      <xdr:rowOff>108720</xdr:rowOff>
    </xdr:to>
    <xdr:graphicFrame>
      <xdr:nvGraphicFramePr>
        <xdr:cNvPr id="38" name="Chart 1"/>
        <xdr:cNvGraphicFramePr/>
      </xdr:nvGraphicFramePr>
      <xdr:xfrm>
        <a:off x="8177040" y="478224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4</xdr:col>
      <xdr:colOff>639360</xdr:colOff>
      <xdr:row>68</xdr:row>
      <xdr:rowOff>89640</xdr:rowOff>
    </xdr:to>
    <xdr:graphicFrame>
      <xdr:nvGraphicFramePr>
        <xdr:cNvPr id="39" name="Chart 2"/>
        <xdr:cNvGraphicFramePr/>
      </xdr:nvGraphicFramePr>
      <xdr:xfrm>
        <a:off x="141120" y="1187136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9</xdr:col>
      <xdr:colOff>388800</xdr:colOff>
      <xdr:row>68</xdr:row>
      <xdr:rowOff>89640</xdr:rowOff>
    </xdr:to>
    <xdr:graphicFrame>
      <xdr:nvGraphicFramePr>
        <xdr:cNvPr id="40" name="Chart 3"/>
        <xdr:cNvGraphicFramePr/>
      </xdr:nvGraphicFramePr>
      <xdr:xfrm>
        <a:off x="4123800" y="11871360"/>
        <a:ext cx="34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8</xdr:col>
      <xdr:colOff>480960</xdr:colOff>
      <xdr:row>36</xdr:row>
      <xdr:rowOff>32760</xdr:rowOff>
    </xdr:to>
    <xdr:graphicFrame>
      <xdr:nvGraphicFramePr>
        <xdr:cNvPr id="41" name="Chart 1"/>
        <xdr:cNvGraphicFramePr/>
      </xdr:nvGraphicFramePr>
      <xdr:xfrm>
        <a:off x="141120" y="44064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8</xdr:col>
      <xdr:colOff>480960</xdr:colOff>
      <xdr:row>53</xdr:row>
      <xdr:rowOff>32400</xdr:rowOff>
    </xdr:to>
    <xdr:graphicFrame>
      <xdr:nvGraphicFramePr>
        <xdr:cNvPr id="42" name="Chart 2"/>
        <xdr:cNvGraphicFramePr/>
      </xdr:nvGraphicFramePr>
      <xdr:xfrm>
        <a:off x="141120" y="76446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557280</xdr:colOff>
      <xdr:row>30</xdr:row>
      <xdr:rowOff>21960</xdr:rowOff>
    </xdr:to>
    <xdr:graphicFrame>
      <xdr:nvGraphicFramePr>
        <xdr:cNvPr id="43" name="Chart 1"/>
        <xdr:cNvGraphicFramePr/>
      </xdr:nvGraphicFramePr>
      <xdr:xfrm>
        <a:off x="141120" y="3072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8</xdr:col>
      <xdr:colOff>10440</xdr:colOff>
      <xdr:row>44</xdr:row>
      <xdr:rowOff>21960</xdr:rowOff>
    </xdr:to>
    <xdr:graphicFrame>
      <xdr:nvGraphicFramePr>
        <xdr:cNvPr id="44" name="Chart 1"/>
        <xdr:cNvGraphicFramePr/>
      </xdr:nvGraphicFramePr>
      <xdr:xfrm>
        <a:off x="141120" y="58114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28</xdr:row>
      <xdr:rowOff>0</xdr:rowOff>
    </xdr:from>
    <xdr:to>
      <xdr:col>8</xdr:col>
      <xdr:colOff>639360</xdr:colOff>
      <xdr:row>40</xdr:row>
      <xdr:rowOff>89640</xdr:rowOff>
    </xdr:to>
    <xdr:graphicFrame>
      <xdr:nvGraphicFramePr>
        <xdr:cNvPr id="45" name="Chart 1"/>
        <xdr:cNvGraphicFramePr/>
      </xdr:nvGraphicFramePr>
      <xdr:xfrm>
        <a:off x="3312720" y="5549400"/>
        <a:ext cx="359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52"/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3" min="3" style="0" width="96"/>
  </cols>
  <sheetData>
    <row r="2" customFormat="false" ht="32.8" hidden="false" customHeight="false" outlineLevel="0" collapsed="false">
      <c r="B2" s="1" t="s">
        <v>0</v>
      </c>
      <c r="C2" s="1"/>
    </row>
    <row r="3" customFormat="false" ht="17.15" hidden="false" customHeight="false" outlineLevel="0" collapsed="false">
      <c r="B3" s="2" t="s">
        <v>1</v>
      </c>
      <c r="C3" s="2"/>
    </row>
    <row r="4" customFormat="false" ht="4.5" hidden="false" customHeight="true" outlineLevel="0" collapsed="false">
      <c r="B4" s="3"/>
      <c r="C4" s="3"/>
    </row>
    <row r="6" customFormat="false" ht="36" hidden="false" customHeight="true" outlineLevel="0" collapsed="false">
      <c r="B6" s="4" t="s">
        <v>2</v>
      </c>
      <c r="C6" s="5" t="s">
        <v>3</v>
      </c>
    </row>
    <row r="7" customFormat="false" ht="36" hidden="false" customHeight="true" outlineLevel="0" collapsed="false">
      <c r="B7" s="4" t="s">
        <v>4</v>
      </c>
      <c r="C7" s="6" t="s">
        <v>5</v>
      </c>
    </row>
    <row r="8" customFormat="false" ht="36" hidden="false" customHeight="true" outlineLevel="0" collapsed="false">
      <c r="B8" s="4" t="s">
        <v>6</v>
      </c>
      <c r="C8" s="5" t="s">
        <v>7</v>
      </c>
    </row>
    <row r="9" customFormat="false" ht="36" hidden="false" customHeight="true" outlineLevel="0" collapsed="false">
      <c r="B9" s="7" t="s">
        <v>8</v>
      </c>
      <c r="C9" s="6" t="s">
        <v>9</v>
      </c>
    </row>
    <row r="10" customFormat="false" ht="36" hidden="false" customHeight="true" outlineLevel="0" collapsed="false">
      <c r="B10" s="7" t="s">
        <v>10</v>
      </c>
      <c r="C10" s="5" t="s">
        <v>11</v>
      </c>
    </row>
    <row r="11" customFormat="false" ht="36" hidden="false" customHeight="true" outlineLevel="0" collapsed="false">
      <c r="B11" s="7" t="s">
        <v>12</v>
      </c>
      <c r="C11" s="6" t="s">
        <v>13</v>
      </c>
    </row>
    <row r="12" customFormat="false" ht="16.4" hidden="false" customHeight="false" outlineLevel="0" collapsed="false">
      <c r="B12" s="7" t="s">
        <v>14</v>
      </c>
      <c r="C12" s="5" t="s">
        <v>15</v>
      </c>
    </row>
    <row r="14" customFormat="false" ht="17.15" hidden="false" customHeight="false" outlineLevel="0" collapsed="false">
      <c r="B14" s="7" t="s">
        <v>16</v>
      </c>
      <c r="C14" s="6" t="s">
        <v>17</v>
      </c>
    </row>
    <row r="16" customFormat="false" ht="31.5" hidden="false" customHeight="true" outlineLevel="0" collapsed="false">
      <c r="B16" s="7" t="s">
        <v>18</v>
      </c>
      <c r="C16" s="8" t="s">
        <v>19</v>
      </c>
    </row>
  </sheetData>
  <mergeCells count="3">
    <mergeCell ref="B2:C2"/>
    <mergeCell ref="B3:C3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52"/>
    <pageSetUpPr fitToPage="false"/>
  </sheetPr>
  <dimension ref="B2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"/>
  </cols>
  <sheetData>
    <row r="2" customFormat="false" ht="27.6" hidden="false" customHeight="false" outlineLevel="0" collapsed="false">
      <c r="B2" s="9" t="s">
        <v>20</v>
      </c>
      <c r="C2" s="9"/>
      <c r="D2" s="9"/>
    </row>
    <row r="3" customFormat="false" ht="16.4" hidden="false" customHeight="false" outlineLevel="0" collapsed="false">
      <c r="B3" s="10" t="s">
        <v>21</v>
      </c>
      <c r="C3" s="10"/>
      <c r="D3" s="10"/>
    </row>
    <row r="4" customFormat="false" ht="21" hidden="false" customHeight="true" outlineLevel="0" collapsed="false">
      <c r="B4" s="11" t="s">
        <v>22</v>
      </c>
      <c r="C4" s="11"/>
      <c r="D4" s="11"/>
    </row>
    <row r="5" customFormat="false" ht="15" hidden="false" customHeight="false" outlineLevel="0" collapsed="false">
      <c r="B5" s="12" t="s">
        <v>23</v>
      </c>
      <c r="C5" s="12" t="s">
        <v>24</v>
      </c>
      <c r="D5" s="13"/>
    </row>
    <row r="6" customFormat="false" ht="16.4" hidden="false" customHeight="false" outlineLevel="0" collapsed="false">
      <c r="B6" s="14" t="s">
        <v>25</v>
      </c>
      <c r="C6" s="15" t="n">
        <v>3500000</v>
      </c>
      <c r="D6" s="16"/>
    </row>
    <row r="7" customFormat="false" ht="16.4" hidden="false" customHeight="false" outlineLevel="0" collapsed="false">
      <c r="B7" s="17" t="s">
        <v>26</v>
      </c>
      <c r="C7" s="18" t="n">
        <v>400000</v>
      </c>
      <c r="D7" s="19"/>
    </row>
    <row r="8" customFormat="false" ht="16.4" hidden="false" customHeight="false" outlineLevel="0" collapsed="false">
      <c r="B8" s="14" t="s">
        <v>27</v>
      </c>
      <c r="C8" s="15" t="n">
        <v>0</v>
      </c>
      <c r="D8" s="16"/>
    </row>
    <row r="9" customFormat="false" ht="16.4" hidden="false" customHeight="false" outlineLevel="0" collapsed="false">
      <c r="B9" s="17" t="s">
        <v>28</v>
      </c>
      <c r="C9" s="18" t="n">
        <v>50000</v>
      </c>
      <c r="D9" s="19"/>
    </row>
    <row r="10" customFormat="false" ht="16.4" hidden="false" customHeight="false" outlineLevel="0" collapsed="false">
      <c r="B10" s="14" t="s">
        <v>29</v>
      </c>
      <c r="C10" s="15" t="n">
        <v>0</v>
      </c>
      <c r="D10" s="16"/>
    </row>
    <row r="11" customFormat="false" ht="15" hidden="false" customHeight="false" outlineLevel="0" collapsed="false">
      <c r="B11" s="17"/>
      <c r="C11" s="18"/>
      <c r="D11" s="19"/>
    </row>
    <row r="12" customFormat="false" ht="15" hidden="false" customHeight="false" outlineLevel="0" collapsed="false">
      <c r="B12" s="14"/>
      <c r="C12" s="15"/>
      <c r="D12" s="16"/>
    </row>
    <row r="14" customFormat="false" ht="21" hidden="false" customHeight="true" outlineLevel="0" collapsed="false">
      <c r="B14" s="11" t="s">
        <v>30</v>
      </c>
      <c r="C14" s="11"/>
      <c r="D14" s="11"/>
    </row>
    <row r="15" customFormat="false" ht="15" hidden="false" customHeight="false" outlineLevel="0" collapsed="false">
      <c r="B15" s="12" t="s">
        <v>23</v>
      </c>
      <c r="C15" s="12" t="s">
        <v>31</v>
      </c>
      <c r="D15" s="12" t="s">
        <v>32</v>
      </c>
    </row>
    <row r="16" customFormat="false" ht="16.4" hidden="false" customHeight="false" outlineLevel="0" collapsed="false">
      <c r="B16" s="14" t="s">
        <v>33</v>
      </c>
      <c r="C16" s="15" t="n">
        <v>600000</v>
      </c>
      <c r="D16" s="20" t="s">
        <v>34</v>
      </c>
    </row>
    <row r="17" customFormat="false" ht="16.4" hidden="false" customHeight="false" outlineLevel="0" collapsed="false">
      <c r="B17" s="17" t="s">
        <v>35</v>
      </c>
      <c r="C17" s="18" t="n">
        <v>150000</v>
      </c>
      <c r="D17" s="21" t="s">
        <v>36</v>
      </c>
    </row>
    <row r="18" customFormat="false" ht="16.4" hidden="false" customHeight="false" outlineLevel="0" collapsed="false">
      <c r="B18" s="14" t="s">
        <v>37</v>
      </c>
      <c r="C18" s="15" t="n">
        <v>88000</v>
      </c>
      <c r="D18" s="20" t="s">
        <v>38</v>
      </c>
    </row>
    <row r="19" customFormat="false" ht="16.4" hidden="false" customHeight="false" outlineLevel="0" collapsed="false">
      <c r="B19" s="17" t="s">
        <v>39</v>
      </c>
      <c r="C19" s="18" t="n">
        <v>120000</v>
      </c>
      <c r="D19" s="21" t="s">
        <v>40</v>
      </c>
    </row>
    <row r="20" customFormat="false" ht="16.4" hidden="false" customHeight="false" outlineLevel="0" collapsed="false">
      <c r="B20" s="14" t="s">
        <v>41</v>
      </c>
      <c r="C20" s="15" t="n">
        <v>29000</v>
      </c>
      <c r="D20" s="20" t="s">
        <v>42</v>
      </c>
    </row>
    <row r="21" customFormat="false" ht="16.4" hidden="false" customHeight="false" outlineLevel="0" collapsed="false">
      <c r="B21" s="17" t="s">
        <v>43</v>
      </c>
      <c r="C21" s="18" t="n">
        <v>62000</v>
      </c>
      <c r="D21" s="21" t="s">
        <v>44</v>
      </c>
    </row>
    <row r="22" customFormat="false" ht="16.4" hidden="false" customHeight="false" outlineLevel="0" collapsed="false">
      <c r="B22" s="14" t="s">
        <v>45</v>
      </c>
      <c r="C22" s="15" t="n">
        <v>300000</v>
      </c>
      <c r="D22" s="20" t="s">
        <v>34</v>
      </c>
    </row>
    <row r="23" customFormat="false" ht="16.4" hidden="false" customHeight="false" outlineLevel="0" collapsed="false">
      <c r="B23" s="17" t="s">
        <v>46</v>
      </c>
      <c r="C23" s="18" t="n">
        <v>100000</v>
      </c>
      <c r="D23" s="21" t="s">
        <v>34</v>
      </c>
    </row>
    <row r="24" customFormat="false" ht="16.4" hidden="false" customHeight="false" outlineLevel="0" collapsed="false">
      <c r="B24" s="14" t="s">
        <v>47</v>
      </c>
      <c r="C24" s="15" t="n">
        <v>180000</v>
      </c>
      <c r="D24" s="20" t="s">
        <v>34</v>
      </c>
    </row>
    <row r="25" customFormat="false" ht="16.4" hidden="false" customHeight="false" outlineLevel="0" collapsed="false">
      <c r="B25" s="17" t="s">
        <v>48</v>
      </c>
      <c r="C25" s="18" t="n">
        <v>140000</v>
      </c>
      <c r="D25" s="22" t="s">
        <v>49</v>
      </c>
    </row>
    <row r="26" customFormat="false" ht="15" hidden="false" customHeight="false" outlineLevel="0" collapsed="false">
      <c r="B26" s="14"/>
      <c r="C26" s="15"/>
      <c r="D26" s="20"/>
    </row>
    <row r="27" customFormat="false" ht="15" hidden="false" customHeight="false" outlineLevel="0" collapsed="false">
      <c r="B27" s="17"/>
      <c r="C27" s="18"/>
      <c r="D27" s="22"/>
    </row>
    <row r="29" customFormat="false" ht="21" hidden="false" customHeight="true" outlineLevel="0" collapsed="false">
      <c r="B29" s="11" t="s">
        <v>50</v>
      </c>
      <c r="C29" s="11"/>
      <c r="D29" s="11"/>
    </row>
    <row r="30" customFormat="false" ht="15" hidden="false" customHeight="false" outlineLevel="0" collapsed="false">
      <c r="B30" s="12" t="s">
        <v>23</v>
      </c>
      <c r="C30" s="12" t="s">
        <v>51</v>
      </c>
      <c r="D30" s="13"/>
    </row>
    <row r="31" customFormat="false" ht="16.4" hidden="false" customHeight="false" outlineLevel="0" collapsed="false">
      <c r="B31" s="14" t="s">
        <v>52</v>
      </c>
      <c r="C31" s="15" t="n">
        <v>350000</v>
      </c>
      <c r="D31" s="16"/>
    </row>
    <row r="32" customFormat="false" ht="16.4" hidden="false" customHeight="false" outlineLevel="0" collapsed="false">
      <c r="B32" s="17" t="s">
        <v>53</v>
      </c>
      <c r="C32" s="18" t="n">
        <v>200000</v>
      </c>
      <c r="D32" s="19"/>
    </row>
    <row r="33" customFormat="false" ht="15" hidden="false" customHeight="false" outlineLevel="0" collapsed="false">
      <c r="B33" s="14" t="s">
        <v>54</v>
      </c>
      <c r="C33" s="15" t="n">
        <v>80000</v>
      </c>
      <c r="D33" s="16"/>
    </row>
    <row r="34" customFormat="false" ht="16.4" hidden="false" customHeight="false" outlineLevel="0" collapsed="false">
      <c r="B34" s="17" t="s">
        <v>55</v>
      </c>
      <c r="C34" s="18" t="n">
        <v>120000</v>
      </c>
      <c r="D34" s="19"/>
    </row>
    <row r="35" customFormat="false" ht="16.4" hidden="false" customHeight="false" outlineLevel="0" collapsed="false">
      <c r="B35" s="14" t="s">
        <v>56</v>
      </c>
      <c r="C35" s="15" t="n">
        <v>60000</v>
      </c>
      <c r="D35" s="16"/>
    </row>
    <row r="36" customFormat="false" ht="16.4" hidden="false" customHeight="false" outlineLevel="0" collapsed="false">
      <c r="B36" s="17" t="s">
        <v>57</v>
      </c>
      <c r="C36" s="18" t="n">
        <v>100000</v>
      </c>
      <c r="D36" s="19"/>
    </row>
    <row r="37" customFormat="false" ht="16.4" hidden="false" customHeight="false" outlineLevel="0" collapsed="false">
      <c r="B37" s="14" t="s">
        <v>58</v>
      </c>
      <c r="C37" s="15" t="n">
        <v>80000</v>
      </c>
      <c r="D37" s="16"/>
    </row>
    <row r="38" customFormat="false" ht="16.4" hidden="false" customHeight="false" outlineLevel="0" collapsed="false">
      <c r="B38" s="17" t="s">
        <v>59</v>
      </c>
      <c r="C38" s="18" t="n">
        <v>80000</v>
      </c>
      <c r="D38" s="19"/>
    </row>
    <row r="39" customFormat="false" ht="16.4" hidden="false" customHeight="false" outlineLevel="0" collapsed="false">
      <c r="B39" s="14" t="s">
        <v>60</v>
      </c>
      <c r="C39" s="15" t="n">
        <v>100000</v>
      </c>
      <c r="D39" s="16"/>
    </row>
    <row r="40" customFormat="false" ht="16.4" hidden="false" customHeight="false" outlineLevel="0" collapsed="false">
      <c r="B40" s="17" t="s">
        <v>61</v>
      </c>
      <c r="C40" s="18" t="n">
        <v>0</v>
      </c>
      <c r="D40" s="19"/>
    </row>
    <row r="41" customFormat="false" ht="15" hidden="false" customHeight="false" outlineLevel="0" collapsed="false">
      <c r="B41" s="14" t="s">
        <v>62</v>
      </c>
      <c r="C41" s="15" t="n">
        <v>0</v>
      </c>
      <c r="D41" s="16"/>
    </row>
    <row r="42" customFormat="false" ht="15" hidden="false" customHeight="false" outlineLevel="0" collapsed="false">
      <c r="B42" s="17" t="s">
        <v>63</v>
      </c>
      <c r="C42" s="18" t="n">
        <v>100000</v>
      </c>
      <c r="D42" s="19"/>
    </row>
    <row r="43" customFormat="false" ht="16.4" hidden="false" customHeight="false" outlineLevel="0" collapsed="false">
      <c r="B43" s="14" t="s">
        <v>64</v>
      </c>
      <c r="C43" s="15" t="n">
        <v>30000</v>
      </c>
      <c r="D43" s="16"/>
    </row>
    <row r="44" customFormat="false" ht="16.4" hidden="false" customHeight="false" outlineLevel="0" collapsed="false">
      <c r="B44" s="17" t="s">
        <v>65</v>
      </c>
      <c r="C44" s="18" t="n">
        <v>30000</v>
      </c>
      <c r="D44" s="19"/>
    </row>
    <row r="45" customFormat="false" ht="15" hidden="false" customHeight="false" outlineLevel="0" collapsed="false">
      <c r="B45" s="14" t="s">
        <v>66</v>
      </c>
      <c r="C45" s="15" t="n">
        <v>80000</v>
      </c>
      <c r="D45" s="16"/>
    </row>
    <row r="47" customFormat="false" ht="21" hidden="false" customHeight="true" outlineLevel="0" collapsed="false">
      <c r="B47" s="11" t="s">
        <v>67</v>
      </c>
      <c r="C47" s="11"/>
      <c r="D47" s="11"/>
    </row>
    <row r="48" customFormat="false" ht="15" hidden="false" customHeight="false" outlineLevel="0" collapsed="false">
      <c r="B48" s="12" t="s">
        <v>23</v>
      </c>
      <c r="C48" s="12" t="s">
        <v>68</v>
      </c>
      <c r="D48" s="13"/>
    </row>
    <row r="49" customFormat="false" ht="15" hidden="false" customHeight="false" outlineLevel="0" collapsed="false">
      <c r="B49" s="14" t="s">
        <v>69</v>
      </c>
      <c r="C49" s="15" t="n">
        <v>150000</v>
      </c>
      <c r="D49" s="16"/>
    </row>
    <row r="50" customFormat="false" ht="16.4" hidden="false" customHeight="false" outlineLevel="0" collapsed="false">
      <c r="B50" s="17" t="s">
        <v>70</v>
      </c>
      <c r="C50" s="18" t="n">
        <v>100000</v>
      </c>
      <c r="D50" s="19"/>
    </row>
    <row r="51" customFormat="false" ht="16.4" hidden="false" customHeight="false" outlineLevel="0" collapsed="false">
      <c r="B51" s="14" t="s">
        <v>71</v>
      </c>
      <c r="C51" s="15" t="n">
        <v>400000</v>
      </c>
      <c r="D51" s="16"/>
    </row>
    <row r="52" customFormat="false" ht="15" hidden="false" customHeight="false" outlineLevel="0" collapsed="false">
      <c r="B52" s="17" t="s">
        <v>72</v>
      </c>
      <c r="C52" s="18" t="n">
        <v>100000</v>
      </c>
      <c r="D52" s="19"/>
    </row>
    <row r="53" customFormat="false" ht="16.4" hidden="false" customHeight="false" outlineLevel="0" collapsed="false">
      <c r="B53" s="14" t="s">
        <v>73</v>
      </c>
      <c r="C53" s="15" t="n">
        <v>200000</v>
      </c>
      <c r="D53" s="16"/>
    </row>
    <row r="54" customFormat="false" ht="15" hidden="false" customHeight="false" outlineLevel="0" collapsed="false">
      <c r="B54" s="17" t="s">
        <v>74</v>
      </c>
      <c r="C54" s="18" t="n">
        <v>150000</v>
      </c>
      <c r="D54" s="19"/>
    </row>
  </sheetData>
  <mergeCells count="6">
    <mergeCell ref="B2:D2"/>
    <mergeCell ref="B3:D3"/>
    <mergeCell ref="B4:D4"/>
    <mergeCell ref="B14:D14"/>
    <mergeCell ref="B29:D29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52"/>
    <pageSetUpPr fitToPage="false"/>
  </sheetPr>
  <dimension ref="B2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11" min="3" style="0" width="13"/>
    <col collapsed="false" customWidth="true" hidden="false" outlineLevel="0" max="13" min="13" style="0" width="11"/>
    <col collapsed="false" customWidth="true" hidden="false" outlineLevel="0" max="14" min="14" style="0" width="12"/>
  </cols>
  <sheetData>
    <row r="2" customFormat="false" ht="30.55" hidden="false" customHeight="false" outlineLevel="0" collapsed="false">
      <c r="B2" s="23" t="s">
        <v>75</v>
      </c>
    </row>
    <row r="3" customFormat="false" ht="16.4" hidden="false" customHeight="false" outlineLevel="0" collapsed="false">
      <c r="B3" s="24" t="s">
        <v>76</v>
      </c>
    </row>
    <row r="5" customFormat="false" ht="15" hidden="false" customHeight="false" outlineLevel="0" collapsed="false">
      <c r="B5" s="25" t="s">
        <v>77</v>
      </c>
      <c r="C5" s="25"/>
      <c r="D5" s="25" t="s">
        <v>78</v>
      </c>
      <c r="E5" s="25"/>
      <c r="F5" s="25" t="s">
        <v>79</v>
      </c>
      <c r="G5" s="25"/>
      <c r="H5" s="25" t="s">
        <v>80</v>
      </c>
      <c r="I5" s="25"/>
      <c r="J5" s="25" t="s">
        <v>81</v>
      </c>
      <c r="K5" s="25"/>
    </row>
    <row r="6" customFormat="false" ht="24" hidden="false" customHeight="true" outlineLevel="0" collapsed="false">
      <c r="B6" s="26" t="n">
        <f aca="false">SUM(C8:C19)</f>
        <v>3950000</v>
      </c>
      <c r="C6" s="26"/>
      <c r="D6" s="26" t="n">
        <f aca="false">SUM(D8:D19)</f>
        <v>2478000</v>
      </c>
      <c r="E6" s="26"/>
      <c r="F6" s="26" t="n">
        <f aca="false">SUM(E8:E19)</f>
        <v>1100000</v>
      </c>
      <c r="G6" s="26"/>
      <c r="H6" s="27" t="n">
        <f aca="false">IFERROR((SUM(C8:C19)-SUM(D8:D19))/SUM(C8:C19),0)</f>
        <v>0.372658227848101</v>
      </c>
      <c r="I6" s="27"/>
      <c r="J6" s="26" t="n">
        <f aca="false">순자산!C3</f>
        <v>99700000</v>
      </c>
      <c r="K6" s="26"/>
    </row>
    <row r="7" customFormat="false" ht="15" hidden="false" customHeight="false" outlineLevel="0" collapsed="false">
      <c r="B7" s="12" t="s">
        <v>82</v>
      </c>
      <c r="C7" s="12" t="s">
        <v>83</v>
      </c>
      <c r="D7" s="12" t="s">
        <v>84</v>
      </c>
      <c r="E7" s="12" t="s">
        <v>85</v>
      </c>
      <c r="F7" s="12" t="s">
        <v>86</v>
      </c>
      <c r="G7" s="12" t="s">
        <v>87</v>
      </c>
    </row>
    <row r="8" customFormat="false" ht="15" hidden="false" customHeight="false" outlineLevel="0" collapsed="false">
      <c r="B8" s="28" t="s">
        <v>88</v>
      </c>
      <c r="C8" s="29" t="n">
        <f aca="false">'1월'!D4</f>
        <v>3950000</v>
      </c>
      <c r="D8" s="29" t="n">
        <f aca="false">'1월'!D5</f>
        <v>2478000</v>
      </c>
      <c r="E8" s="29" t="n">
        <f aca="false">'1월'!D6</f>
        <v>1100000</v>
      </c>
      <c r="F8" s="29" t="n">
        <f aca="false">'1월'!D7</f>
        <v>372000</v>
      </c>
      <c r="G8" s="30" t="n">
        <f aca="false">'1월'!D8</f>
        <v>0.372658227848101</v>
      </c>
    </row>
    <row r="9" customFormat="false" ht="15" hidden="false" customHeight="false" outlineLevel="0" collapsed="false">
      <c r="B9" s="31" t="s">
        <v>89</v>
      </c>
      <c r="C9" s="32" t="n">
        <f aca="false">'2월'!D4</f>
        <v>0</v>
      </c>
      <c r="D9" s="32" t="n">
        <f aca="false">'2월'!D5</f>
        <v>0</v>
      </c>
      <c r="E9" s="32" t="n">
        <f aca="false">'2월'!D6</f>
        <v>0</v>
      </c>
      <c r="F9" s="32" t="n">
        <f aca="false">'2월'!D7</f>
        <v>0</v>
      </c>
      <c r="G9" s="33" t="n">
        <f aca="false">'2월'!D8</f>
        <v>0</v>
      </c>
    </row>
    <row r="10" customFormat="false" ht="15" hidden="false" customHeight="false" outlineLevel="0" collapsed="false">
      <c r="B10" s="28" t="s">
        <v>90</v>
      </c>
      <c r="C10" s="29" t="n">
        <f aca="false">'3월'!D4</f>
        <v>0</v>
      </c>
      <c r="D10" s="29" t="n">
        <f aca="false">'3월'!D5</f>
        <v>0</v>
      </c>
      <c r="E10" s="29" t="n">
        <f aca="false">'3월'!D6</f>
        <v>0</v>
      </c>
      <c r="F10" s="29" t="n">
        <f aca="false">'3월'!D7</f>
        <v>0</v>
      </c>
      <c r="G10" s="30" t="n">
        <f aca="false">'3월'!D8</f>
        <v>0</v>
      </c>
    </row>
    <row r="11" customFormat="false" ht="15" hidden="false" customHeight="false" outlineLevel="0" collapsed="false">
      <c r="B11" s="31" t="s">
        <v>91</v>
      </c>
      <c r="C11" s="32" t="n">
        <f aca="false">'4월'!D4</f>
        <v>0</v>
      </c>
      <c r="D11" s="32" t="n">
        <f aca="false">'4월'!D5</f>
        <v>0</v>
      </c>
      <c r="E11" s="32" t="n">
        <f aca="false">'4월'!D6</f>
        <v>0</v>
      </c>
      <c r="F11" s="32" t="n">
        <f aca="false">'4월'!D7</f>
        <v>0</v>
      </c>
      <c r="G11" s="33" t="n">
        <f aca="false">'4월'!D8</f>
        <v>0</v>
      </c>
    </row>
    <row r="12" customFormat="false" ht="15" hidden="false" customHeight="false" outlineLevel="0" collapsed="false">
      <c r="B12" s="28" t="s">
        <v>92</v>
      </c>
      <c r="C12" s="29" t="n">
        <f aca="false">'5월'!D4</f>
        <v>0</v>
      </c>
      <c r="D12" s="29" t="n">
        <f aca="false">'5월'!D5</f>
        <v>0</v>
      </c>
      <c r="E12" s="29" t="n">
        <f aca="false">'5월'!D6</f>
        <v>0</v>
      </c>
      <c r="F12" s="29" t="n">
        <f aca="false">'5월'!D7</f>
        <v>0</v>
      </c>
      <c r="G12" s="30" t="n">
        <f aca="false">'5월'!D8</f>
        <v>0</v>
      </c>
    </row>
    <row r="13" customFormat="false" ht="15" hidden="false" customHeight="false" outlineLevel="0" collapsed="false">
      <c r="B13" s="31" t="s">
        <v>93</v>
      </c>
      <c r="C13" s="32" t="n">
        <f aca="false">'6월'!D4</f>
        <v>0</v>
      </c>
      <c r="D13" s="32" t="n">
        <f aca="false">'6월'!D5</f>
        <v>0</v>
      </c>
      <c r="E13" s="32" t="n">
        <f aca="false">'6월'!D6</f>
        <v>0</v>
      </c>
      <c r="F13" s="32" t="n">
        <f aca="false">'6월'!D7</f>
        <v>0</v>
      </c>
      <c r="G13" s="33" t="n">
        <f aca="false">'6월'!D8</f>
        <v>0</v>
      </c>
    </row>
    <row r="14" customFormat="false" ht="15" hidden="false" customHeight="false" outlineLevel="0" collapsed="false">
      <c r="B14" s="28" t="s">
        <v>94</v>
      </c>
      <c r="C14" s="29" t="n">
        <f aca="false">'7월'!D4</f>
        <v>0</v>
      </c>
      <c r="D14" s="29" t="n">
        <f aca="false">'7월'!D5</f>
        <v>0</v>
      </c>
      <c r="E14" s="29" t="n">
        <f aca="false">'7월'!D6</f>
        <v>0</v>
      </c>
      <c r="F14" s="29" t="n">
        <f aca="false">'7월'!D7</f>
        <v>0</v>
      </c>
      <c r="G14" s="30" t="n">
        <f aca="false">'7월'!D8</f>
        <v>0</v>
      </c>
    </row>
    <row r="15" customFormat="false" ht="15" hidden="false" customHeight="false" outlineLevel="0" collapsed="false">
      <c r="B15" s="31" t="s">
        <v>95</v>
      </c>
      <c r="C15" s="32" t="n">
        <f aca="false">'8월'!D4</f>
        <v>0</v>
      </c>
      <c r="D15" s="32" t="n">
        <f aca="false">'8월'!D5</f>
        <v>0</v>
      </c>
      <c r="E15" s="32" t="n">
        <f aca="false">'8월'!D6</f>
        <v>0</v>
      </c>
      <c r="F15" s="32" t="n">
        <f aca="false">'8월'!D7</f>
        <v>0</v>
      </c>
      <c r="G15" s="33" t="n">
        <f aca="false">'8월'!D8</f>
        <v>0</v>
      </c>
    </row>
    <row r="16" customFormat="false" ht="15" hidden="false" customHeight="false" outlineLevel="0" collapsed="false">
      <c r="B16" s="28" t="s">
        <v>96</v>
      </c>
      <c r="C16" s="29" t="n">
        <f aca="false">'9월'!D4</f>
        <v>0</v>
      </c>
      <c r="D16" s="29" t="n">
        <f aca="false">'9월'!D5</f>
        <v>0</v>
      </c>
      <c r="E16" s="29" t="n">
        <f aca="false">'9월'!D6</f>
        <v>0</v>
      </c>
      <c r="F16" s="29" t="n">
        <f aca="false">'9월'!D7</f>
        <v>0</v>
      </c>
      <c r="G16" s="30" t="n">
        <f aca="false">'9월'!D8</f>
        <v>0</v>
      </c>
    </row>
    <row r="17" customFormat="false" ht="15" hidden="false" customHeight="false" outlineLevel="0" collapsed="false">
      <c r="B17" s="31" t="s">
        <v>97</v>
      </c>
      <c r="C17" s="32" t="n">
        <f aca="false">'10월'!D4</f>
        <v>0</v>
      </c>
      <c r="D17" s="32" t="n">
        <f aca="false">'10월'!D5</f>
        <v>0</v>
      </c>
      <c r="E17" s="32" t="n">
        <f aca="false">'10월'!D6</f>
        <v>0</v>
      </c>
      <c r="F17" s="32" t="n">
        <f aca="false">'10월'!D7</f>
        <v>0</v>
      </c>
      <c r="G17" s="33" t="n">
        <f aca="false">'10월'!D8</f>
        <v>0</v>
      </c>
    </row>
    <row r="18" customFormat="false" ht="15" hidden="false" customHeight="false" outlineLevel="0" collapsed="false">
      <c r="B18" s="28" t="s">
        <v>98</v>
      </c>
      <c r="C18" s="29" t="n">
        <f aca="false">'11월'!D4</f>
        <v>0</v>
      </c>
      <c r="D18" s="29" t="n">
        <f aca="false">'11월'!D5</f>
        <v>0</v>
      </c>
      <c r="E18" s="29" t="n">
        <f aca="false">'11월'!D6</f>
        <v>0</v>
      </c>
      <c r="F18" s="29" t="n">
        <f aca="false">'11월'!D7</f>
        <v>0</v>
      </c>
      <c r="G18" s="30" t="n">
        <f aca="false">'11월'!D8</f>
        <v>0</v>
      </c>
    </row>
    <row r="19" customFormat="false" ht="15" hidden="false" customHeight="false" outlineLevel="0" collapsed="false">
      <c r="B19" s="31" t="s">
        <v>99</v>
      </c>
      <c r="C19" s="32" t="n">
        <f aca="false">'12월'!D4</f>
        <v>0</v>
      </c>
      <c r="D19" s="32" t="n">
        <f aca="false">'12월'!D5</f>
        <v>0</v>
      </c>
      <c r="E19" s="32" t="n">
        <f aca="false">'12월'!D6</f>
        <v>0</v>
      </c>
      <c r="F19" s="32" t="n">
        <f aca="false">'12월'!D7</f>
        <v>0</v>
      </c>
      <c r="G19" s="33" t="n">
        <f aca="false">'12월'!D8</f>
        <v>0</v>
      </c>
    </row>
    <row r="20" customFormat="false" ht="15" hidden="false" customHeight="false" outlineLevel="0" collapsed="false">
      <c r="B20" s="34" t="s">
        <v>100</v>
      </c>
      <c r="C20" s="35" t="n">
        <f aca="false">SUM(C8:C19)</f>
        <v>3950000</v>
      </c>
      <c r="D20" s="35" t="n">
        <f aca="false">SUM(D8:D19)</f>
        <v>2478000</v>
      </c>
      <c r="E20" s="35" t="n">
        <f aca="false">SUM(E8:E19)</f>
        <v>1100000</v>
      </c>
      <c r="F20" s="35" t="n">
        <f aca="false">SUM(F8:F19)</f>
        <v>372000</v>
      </c>
      <c r="G20" s="36" t="n">
        <f aca="false">IFERROR((C20-D20)/C20,0)</f>
        <v>0.372658227848101</v>
      </c>
    </row>
    <row r="21" customFormat="false" ht="15" hidden="false" customHeight="false" outlineLevel="0" collapsed="false">
      <c r="B21" s="34" t="s">
        <v>101</v>
      </c>
      <c r="C21" s="35" t="n">
        <f aca="false">AVERAGE(C8:C19)</f>
        <v>329166.666666667</v>
      </c>
      <c r="D21" s="35" t="n">
        <f aca="false">AVERAGE(D8:D19)</f>
        <v>206500</v>
      </c>
      <c r="E21" s="35" t="n">
        <f aca="false">AVERAGE(E8:E19)</f>
        <v>91666.6666666667</v>
      </c>
      <c r="F21" s="35" t="n">
        <f aca="false">AVERAGE(F8:F19)</f>
        <v>31000</v>
      </c>
      <c r="G21" s="36" t="n">
        <f aca="false">IFERROR(AVERAGE(G8:G19),0)</f>
        <v>0.0310548523206751</v>
      </c>
    </row>
    <row r="43" customFormat="false" ht="15" hidden="false" customHeight="false" outlineLevel="0" collapsed="false">
      <c r="M43" s="37" t="s">
        <v>102</v>
      </c>
    </row>
    <row r="44" customFormat="false" ht="15" hidden="false" customHeight="false" outlineLevel="0" collapsed="false">
      <c r="M44" s="38" t="s">
        <v>103</v>
      </c>
      <c r="N44" s="39" t="n">
        <f aca="false">'1월'!E35+'2월'!E35+'3월'!E35+'4월'!E35+'5월'!E35+'6월'!E35+'7월'!E35+'8월'!E35+'9월'!E35+'10월'!E35+'11월'!E35+'12월'!E35</f>
        <v>1769000</v>
      </c>
    </row>
    <row r="45" customFormat="false" ht="15" hidden="false" customHeight="false" outlineLevel="0" collapsed="false">
      <c r="M45" s="38" t="s">
        <v>104</v>
      </c>
      <c r="N45" s="39" t="n">
        <f aca="false">D20-N44</f>
        <v>709000</v>
      </c>
    </row>
    <row r="46" customFormat="false" ht="15" hidden="false" customHeight="false" outlineLevel="0" collapsed="false">
      <c r="M46" s="38" t="s">
        <v>105</v>
      </c>
      <c r="N46" s="39" t="n">
        <f aca="false">E20</f>
        <v>1100000</v>
      </c>
    </row>
  </sheetData>
  <mergeCells count="10"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106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183000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96000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3950000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23000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2478000</v>
      </c>
      <c r="E5" s="45"/>
      <c r="G5" s="47" t="n">
        <v>2</v>
      </c>
      <c r="H5" s="48" t="s">
        <v>125</v>
      </c>
      <c r="I5" s="48" t="s">
        <v>126</v>
      </c>
      <c r="J5" s="49" t="n">
        <v>68000</v>
      </c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183000</v>
      </c>
      <c r="O5" s="52" t="n">
        <f aca="false">IFERROR(N5/M5,0)</f>
        <v>0.522857142857143</v>
      </c>
      <c r="P5" s="53" t="str">
        <f aca="false">IF(M5="","",REPT("■",MIN(10,ROUND(O5*10,0)))&amp;REPT("□",10-MIN(10,ROUND(O5*10,0))))</f>
        <v>■■■■■□□□□□</v>
      </c>
      <c r="R5" s="38" t="s">
        <v>83</v>
      </c>
      <c r="S5" s="39" t="n">
        <f aca="false">C19</f>
        <v>3950000</v>
      </c>
      <c r="T5" s="39" t="n">
        <f aca="false">D19</f>
        <v>3950000</v>
      </c>
      <c r="V5" s="42" t="str">
        <f aca="false">IF(L8="","",L8)</f>
        <v>교통 / 차량</v>
      </c>
      <c r="W5" s="43" t="n">
        <f aca="false">N8</f>
        <v>70000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1100000</v>
      </c>
      <c r="E6" s="45"/>
      <c r="G6" s="54" t="n">
        <v>3</v>
      </c>
      <c r="H6" s="55" t="s">
        <v>128</v>
      </c>
      <c r="I6" s="55" t="s">
        <v>129</v>
      </c>
      <c r="J6" s="56" t="n">
        <v>32000</v>
      </c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96000</v>
      </c>
      <c r="O6" s="59" t="n">
        <f aca="false">IFERROR(N6/M6,0)</f>
        <v>0.48</v>
      </c>
      <c r="P6" s="60" t="str">
        <f aca="false">IF(M6="","",REPT("■",MIN(10,ROUND(O6*10,0)))&amp;REPT("□",10-MIN(10,ROUND(O6*10,0))))</f>
        <v>■■■■■□□□□□</v>
      </c>
      <c r="R6" s="38" t="s">
        <v>84</v>
      </c>
      <c r="S6" s="39" t="n">
        <f aca="false">C35+M20</f>
        <v>3179000</v>
      </c>
      <c r="T6" s="39" t="n">
        <f aca="false">E35+J55</f>
        <v>2478000</v>
      </c>
      <c r="V6" s="42" t="str">
        <f aca="false">IF(L9="","",L9)</f>
        <v>의료 / 건강</v>
      </c>
      <c r="W6" s="43" t="n">
        <f aca="false">N9</f>
        <v>12000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372000</v>
      </c>
      <c r="E7" s="45"/>
      <c r="G7" s="47" t="n">
        <v>5</v>
      </c>
      <c r="H7" s="48" t="s">
        <v>130</v>
      </c>
      <c r="I7" s="48" t="s">
        <v>131</v>
      </c>
      <c r="J7" s="49" t="n">
        <v>70000</v>
      </c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23000</v>
      </c>
      <c r="O7" s="52" t="n">
        <f aca="false">IFERROR(N7/M7,0)</f>
        <v>0.2875</v>
      </c>
      <c r="P7" s="53" t="str">
        <f aca="false">IF(M7="","",REPT("■",MIN(10,ROUND(O7*10,0)))&amp;REPT("□",10-MIN(10,ROUND(O7*10,0))))</f>
        <v>■■■□□□□□□□</v>
      </c>
      <c r="R7" s="38" t="s">
        <v>132</v>
      </c>
      <c r="S7" s="39" t="n">
        <f aca="false">C45</f>
        <v>1100000</v>
      </c>
      <c r="T7" s="39" t="n">
        <f aca="false">D45</f>
        <v>1100000</v>
      </c>
      <c r="V7" s="42" t="str">
        <f aca="false">IF(L10="","",L10)</f>
        <v>의류 / 미용</v>
      </c>
      <c r="W7" s="43" t="n">
        <f aca="false">N10</f>
        <v>45000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0.372658227848101</v>
      </c>
      <c r="E8" s="61"/>
      <c r="G8" s="54" t="n">
        <v>6</v>
      </c>
      <c r="H8" s="55" t="s">
        <v>133</v>
      </c>
      <c r="I8" s="55" t="s">
        <v>134</v>
      </c>
      <c r="J8" s="56" t="n">
        <v>28000</v>
      </c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70000</v>
      </c>
      <c r="O8" s="59" t="n">
        <f aca="false">IFERROR(N8/M8,0)</f>
        <v>0.583333333333333</v>
      </c>
      <c r="P8" s="60" t="str">
        <f aca="false">IF(M8="","",REPT("■",MIN(10,ROUND(O8*10,0)))&amp;REPT("□",10-MIN(10,ROUND(O8*10,0))))</f>
        <v>■■■■■■□□□□</v>
      </c>
      <c r="V8" s="42" t="str">
        <f aca="false">IF(L11="","",L11)</f>
        <v>교육 / 자기계발</v>
      </c>
      <c r="W8" s="43" t="n">
        <f aca="false">N11</f>
        <v>39000</v>
      </c>
    </row>
    <row r="9" customFormat="false" ht="15" hidden="false" customHeight="false" outlineLevel="0" collapsed="false">
      <c r="G9" s="47" t="n">
        <v>8</v>
      </c>
      <c r="H9" s="48" t="s">
        <v>125</v>
      </c>
      <c r="I9" s="48" t="s">
        <v>135</v>
      </c>
      <c r="J9" s="49" t="n">
        <v>54000</v>
      </c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12000</v>
      </c>
      <c r="O9" s="52" t="n">
        <f aca="false">IFERROR(N9/M9,0)</f>
        <v>0.2</v>
      </c>
      <c r="P9" s="53" t="str">
        <f aca="false">IF(M9="","",REPT("■",MIN(10,ROUND(O9*10,0)))&amp;REPT("□",10-MIN(10,ROUND(O9*10,0))))</f>
        <v>■■□□□□□□□□</v>
      </c>
      <c r="R9" s="38" t="s">
        <v>103</v>
      </c>
      <c r="S9" s="39" t="n">
        <f aca="false">E35</f>
        <v>1769000</v>
      </c>
      <c r="V9" s="42" t="str">
        <f aca="false">IF(L12="","",L12)</f>
        <v>문화 / 여가</v>
      </c>
      <c r="W9" s="43" t="n">
        <f aca="false">N12</f>
        <v>28000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 t="n">
        <v>9</v>
      </c>
      <c r="H10" s="55" t="s">
        <v>136</v>
      </c>
      <c r="I10" s="55" t="s">
        <v>137</v>
      </c>
      <c r="J10" s="56" t="n">
        <v>45000</v>
      </c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45000</v>
      </c>
      <c r="O10" s="59" t="n">
        <f aca="false">IFERROR(N10/M10,0)</f>
        <v>0.45</v>
      </c>
      <c r="P10" s="60" t="str">
        <f aca="false">IF(M10="","",REPT("■",MIN(10,ROUND(O10*10,0)))&amp;REPT("□",10-MIN(10,ROUND(O10*10,0))))</f>
        <v>■■■■■□□□□□</v>
      </c>
      <c r="R10" s="38" t="s">
        <v>104</v>
      </c>
      <c r="S10" s="39" t="n">
        <f aca="false">J55</f>
        <v>709000</v>
      </c>
      <c r="V10" s="42" t="str">
        <f aca="false">IF(L13="","",L13)</f>
        <v>경조사 / 선물</v>
      </c>
      <c r="W10" s="43" t="n">
        <f aca="false">N13</f>
        <v>50000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 t="n">
        <v>11</v>
      </c>
      <c r="H11" s="48" t="s">
        <v>128</v>
      </c>
      <c r="I11" s="48" t="s">
        <v>140</v>
      </c>
      <c r="J11" s="49" t="n">
        <v>18000</v>
      </c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39000</v>
      </c>
      <c r="O11" s="52" t="n">
        <f aca="false">IFERROR(N11/M11,0)</f>
        <v>0.4875</v>
      </c>
      <c r="P11" s="53" t="str">
        <f aca="false">IF(M11="","",REPT("■",MIN(10,ROUND(O11*10,0)))&amp;REPT("□",10-MIN(10,ROUND(O11*10,0))))</f>
        <v>■■■■■□□□□□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 t="n">
        <v>3500000</v>
      </c>
      <c r="E12" s="63" t="n">
        <f aca="false">IF(D12="","",D12-C12)</f>
        <v>0</v>
      </c>
      <c r="G12" s="54" t="n">
        <v>13</v>
      </c>
      <c r="H12" s="55" t="s">
        <v>54</v>
      </c>
      <c r="I12" s="55" t="s">
        <v>141</v>
      </c>
      <c r="J12" s="56" t="n">
        <v>23000</v>
      </c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28000</v>
      </c>
      <c r="O12" s="59" t="n">
        <f aca="false">IFERROR(N12/M12,0)</f>
        <v>0.35</v>
      </c>
      <c r="P12" s="60" t="str">
        <f aca="false">IF(M12="","",REPT("■",MIN(10,ROUND(O12*10,0)))&amp;REPT("□",10-MIN(10,ROUND(O12*10,0))))</f>
        <v>■■■■□□□□□□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 t="n">
        <v>400000</v>
      </c>
      <c r="E13" s="63" t="n">
        <f aca="false">IF(D13="","",D13-C13)</f>
        <v>0</v>
      </c>
      <c r="G13" s="47" t="n">
        <v>15</v>
      </c>
      <c r="H13" s="48" t="s">
        <v>142</v>
      </c>
      <c r="I13" s="48" t="s">
        <v>143</v>
      </c>
      <c r="J13" s="49" t="n">
        <v>12000</v>
      </c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50000</v>
      </c>
      <c r="O13" s="52" t="n">
        <f aca="false">IFERROR(N13/M13,0)</f>
        <v>0.5</v>
      </c>
      <c r="P13" s="53" t="str">
        <f aca="false">IF(M13="","",REPT("■",MIN(10,ROUND(O13*10,0)))&amp;REPT("□",10-MIN(10,ROUND(O13*10,0))))</f>
        <v>■■■■■□□□□□</v>
      </c>
      <c r="V13" s="42" t="str">
        <f aca="false">IF(L16="","",L16)</f>
        <v>여행</v>
      </c>
      <c r="W13" s="43" t="n">
        <f aca="false">N16</f>
        <v>120000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 t="n">
        <v>0</v>
      </c>
      <c r="E14" s="63" t="n">
        <f aca="false">IF(D14="","",D14-C14)</f>
        <v>0</v>
      </c>
      <c r="G14" s="54" t="n">
        <v>17</v>
      </c>
      <c r="H14" s="55" t="s">
        <v>144</v>
      </c>
      <c r="I14" s="55" t="s">
        <v>145</v>
      </c>
      <c r="J14" s="56" t="n">
        <v>50000</v>
      </c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13000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 t="n">
        <v>50000</v>
      </c>
      <c r="E15" s="63" t="n">
        <f aca="false">IF(D15="","",D15-C15)</f>
        <v>0</v>
      </c>
      <c r="G15" s="47" t="n">
        <v>19</v>
      </c>
      <c r="H15" s="48" t="s">
        <v>63</v>
      </c>
      <c r="I15" s="48" t="s">
        <v>146</v>
      </c>
      <c r="J15" s="49" t="n">
        <v>120000</v>
      </c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30000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 t="n">
        <v>0</v>
      </c>
      <c r="E16" s="63" t="n">
        <f aca="false">IF(D16="","",D16-C16)</f>
        <v>0</v>
      </c>
      <c r="G16" s="54" t="n">
        <v>21</v>
      </c>
      <c r="H16" s="55" t="s">
        <v>128</v>
      </c>
      <c r="I16" s="55" t="s">
        <v>147</v>
      </c>
      <c r="J16" s="56" t="n">
        <v>46000</v>
      </c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120000</v>
      </c>
      <c r="O16" s="59" t="n">
        <f aca="false">IFERROR(N16/M16,0)</f>
        <v>1.2</v>
      </c>
      <c r="P16" s="60" t="str">
        <f aca="false">IF(M16="","",REPT("■",MIN(10,ROUND(O16*10,0)))&amp;REPT("□",10-MIN(10,ROUND(O16*10,0))))</f>
        <v>■■■■■■■■■■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 t="n">
        <v>23</v>
      </c>
      <c r="H17" s="48" t="s">
        <v>125</v>
      </c>
      <c r="I17" s="48" t="s">
        <v>148</v>
      </c>
      <c r="J17" s="49" t="n">
        <v>61000</v>
      </c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13000</v>
      </c>
      <c r="O17" s="52" t="n">
        <f aca="false">IFERROR(N17/M17,0)</f>
        <v>0.433333333333333</v>
      </c>
      <c r="P17" s="53" t="str">
        <f aca="false">IF(M17="","",REPT("■",MIN(10,ROUND(O17*10,0)))&amp;REPT("□",10-MIN(10,ROUND(O17*10,0))))</f>
        <v>■■■■□□□□□□</v>
      </c>
      <c r="V17" s="42" t="str">
        <f aca="false">IF(B23="","",B23)</f>
        <v>월세 / 주택대출 상환</v>
      </c>
      <c r="W17" s="43" t="n">
        <f aca="false">E23</f>
        <v>600000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 t="n">
        <v>25</v>
      </c>
      <c r="H18" s="55" t="s">
        <v>149</v>
      </c>
      <c r="I18" s="55" t="s">
        <v>150</v>
      </c>
      <c r="J18" s="56" t="n">
        <v>39000</v>
      </c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30000</v>
      </c>
      <c r="O18" s="59" t="n">
        <f aca="false">IFERROR(N18/M18,0)</f>
        <v>1</v>
      </c>
      <c r="P18" s="60" t="str">
        <f aca="false">IF(M18="","",REPT("■",MIN(10,ROUND(O18*10,0)))&amp;REPT("□",10-MIN(10,ROUND(O18*10,0))))</f>
        <v>■■■■■■■■■■</v>
      </c>
      <c r="V18" s="42" t="str">
        <f aca="false">IF(B24="","",B24)</f>
        <v>관리비</v>
      </c>
      <c r="W18" s="43" t="n">
        <f aca="false">E24</f>
        <v>150000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3950000</v>
      </c>
      <c r="E19" s="35" t="n">
        <f aca="false">D19-C19</f>
        <v>0</v>
      </c>
      <c r="G19" s="47" t="n">
        <v>27</v>
      </c>
      <c r="H19" s="48" t="s">
        <v>151</v>
      </c>
      <c r="I19" s="48" t="s">
        <v>152</v>
      </c>
      <c r="J19" s="49" t="n">
        <v>30000</v>
      </c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88000</v>
      </c>
    </row>
    <row r="20" customFormat="false" ht="15" hidden="false" customHeight="false" outlineLevel="0" collapsed="false">
      <c r="G20" s="54" t="n">
        <v>29</v>
      </c>
      <c r="H20" s="55" t="s">
        <v>153</v>
      </c>
      <c r="I20" s="55" t="s">
        <v>154</v>
      </c>
      <c r="J20" s="56" t="n">
        <v>13000</v>
      </c>
      <c r="L20" s="65" t="s">
        <v>100</v>
      </c>
      <c r="M20" s="35" t="n">
        <f aca="false">SUM(M5:M19)</f>
        <v>1410000</v>
      </c>
      <c r="N20" s="35" t="n">
        <f aca="false">SUM(N5:N19)</f>
        <v>709000</v>
      </c>
      <c r="O20" s="66"/>
      <c r="P20" s="66"/>
      <c r="V20" s="42" t="str">
        <f aca="false">IF(B26="","",B26)</f>
        <v>보험료</v>
      </c>
      <c r="W20" s="43" t="n">
        <f aca="false">E26</f>
        <v>120000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48"/>
      <c r="I21" s="48"/>
      <c r="J21" s="49"/>
      <c r="V21" s="42" t="str">
        <f aca="false">IF(B27="","",B27)</f>
        <v>구독 서비스</v>
      </c>
      <c r="W21" s="43" t="n">
        <f aca="false">E27</f>
        <v>29000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55"/>
      <c r="I22" s="55"/>
      <c r="J22" s="56"/>
      <c r="V22" s="42" t="str">
        <f aca="false">IF(B28="","",B28)</f>
        <v>교통 정기권</v>
      </c>
      <c r="W22" s="43" t="n">
        <f aca="false">E28</f>
        <v>62000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 t="n">
        <v>600000</v>
      </c>
      <c r="G23" s="47"/>
      <c r="H23" s="48"/>
      <c r="I23" s="48"/>
      <c r="J23" s="49"/>
      <c r="V23" s="42" t="str">
        <f aca="false">IF(B29="","",B29)</f>
        <v>적금</v>
      </c>
      <c r="W23" s="43" t="n">
        <f aca="false">E29</f>
        <v>300000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 t="n">
        <v>150000</v>
      </c>
      <c r="G24" s="54"/>
      <c r="H24" s="55"/>
      <c r="I24" s="55"/>
      <c r="J24" s="56"/>
      <c r="V24" s="42" t="str">
        <f aca="false">IF(B30="","",B30)</f>
        <v>청약저축</v>
      </c>
      <c r="W24" s="43" t="n">
        <f aca="false">E30</f>
        <v>100000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 t="n">
        <v>88000</v>
      </c>
      <c r="G25" s="47"/>
      <c r="H25" s="48"/>
      <c r="I25" s="48"/>
      <c r="J25" s="49"/>
      <c r="V25" s="42" t="str">
        <f aca="false">IF(B31="","",B31)</f>
        <v>대출 이자</v>
      </c>
      <c r="W25" s="43" t="n">
        <f aca="false">E31</f>
        <v>180000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 t="n">
        <v>120000</v>
      </c>
      <c r="G26" s="54"/>
      <c r="H26" s="55"/>
      <c r="I26" s="55"/>
      <c r="J26" s="56"/>
      <c r="V26" s="42" t="str">
        <f aca="false">IF(B32="","",B32)</f>
        <v>공과금 (전기·가스·수도)</v>
      </c>
      <c r="W26" s="43" t="n">
        <f aca="false">E32</f>
        <v>140000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 t="n">
        <v>29000</v>
      </c>
      <c r="G27" s="47"/>
      <c r="H27" s="48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 t="n">
        <v>62000</v>
      </c>
      <c r="G28" s="54"/>
      <c r="H28" s="55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 t="n">
        <v>300000</v>
      </c>
      <c r="G29" s="47"/>
      <c r="H29" s="48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 t="n">
        <v>100000</v>
      </c>
      <c r="G30" s="54"/>
      <c r="H30" s="55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 t="n">
        <v>180000</v>
      </c>
      <c r="G31" s="47"/>
      <c r="H31" s="48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 t="n">
        <v>140000</v>
      </c>
      <c r="G32" s="54"/>
      <c r="H32" s="55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48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55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1769000</v>
      </c>
      <c r="G35" s="47"/>
      <c r="H35" s="48"/>
      <c r="I35" s="48"/>
      <c r="J35" s="49"/>
    </row>
    <row r="36" customFormat="false" ht="15" hidden="false" customHeight="false" outlineLevel="0" collapsed="false">
      <c r="G36" s="54"/>
      <c r="H36" s="55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48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55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 t="n">
        <v>150000</v>
      </c>
      <c r="E39" s="63" t="n">
        <f aca="false">IF(D39="","",D39-C39)</f>
        <v>0</v>
      </c>
      <c r="G39" s="47"/>
      <c r="H39" s="48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 t="n">
        <v>100000</v>
      </c>
      <c r="E40" s="63" t="n">
        <f aca="false">IF(D40="","",D40-C40)</f>
        <v>0</v>
      </c>
      <c r="G40" s="54"/>
      <c r="H40" s="55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 t="n">
        <v>400000</v>
      </c>
      <c r="E41" s="63" t="n">
        <f aca="false">IF(D41="","",D41-C41)</f>
        <v>0</v>
      </c>
      <c r="G41" s="47"/>
      <c r="H41" s="48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 t="n">
        <v>100000</v>
      </c>
      <c r="E42" s="63" t="n">
        <f aca="false">IF(D42="","",D42-C42)</f>
        <v>0</v>
      </c>
      <c r="G42" s="54"/>
      <c r="H42" s="55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 t="n">
        <v>200000</v>
      </c>
      <c r="E43" s="63" t="n">
        <f aca="false">IF(D43="","",D43-C43)</f>
        <v>0</v>
      </c>
      <c r="G43" s="47"/>
      <c r="H43" s="48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 t="n">
        <v>150000</v>
      </c>
      <c r="E44" s="63" t="n">
        <f aca="false">IF(D44="","",D44-C44)</f>
        <v>0</v>
      </c>
      <c r="G44" s="54"/>
      <c r="H44" s="55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1100000</v>
      </c>
      <c r="E45" s="35" t="n">
        <f aca="false">D45-C45</f>
        <v>0</v>
      </c>
      <c r="G45" s="47"/>
      <c r="H45" s="48"/>
      <c r="I45" s="48"/>
      <c r="J45" s="49"/>
    </row>
    <row r="46" customFormat="false" ht="15" hidden="false" customHeight="false" outlineLevel="0" collapsed="false">
      <c r="G46" s="54"/>
      <c r="H46" s="55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48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55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48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55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48"/>
      <c r="I51" s="48"/>
      <c r="J51" s="49"/>
    </row>
    <row r="52" customFormat="false" ht="15" hidden="false" customHeight="false" outlineLevel="0" collapsed="false">
      <c r="G52" s="54"/>
      <c r="H52" s="55"/>
      <c r="I52" s="55"/>
      <c r="J52" s="56"/>
    </row>
    <row r="53" customFormat="false" ht="15" hidden="false" customHeight="false" outlineLevel="0" collapsed="false">
      <c r="G53" s="47"/>
      <c r="H53" s="48"/>
      <c r="I53" s="48"/>
      <c r="J53" s="49"/>
    </row>
    <row r="54" customFormat="false" ht="15" hidden="false" customHeight="false" outlineLevel="0" collapsed="false">
      <c r="G54" s="54"/>
      <c r="H54" s="55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709000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158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159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160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161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162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163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164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165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166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167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1:W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2.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2.5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20" min="18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30.55" hidden="false" customHeight="false" outlineLevel="0" collapsed="false">
      <c r="B1" s="40" t="s">
        <v>168</v>
      </c>
      <c r="L1" s="41" t="s">
        <v>107</v>
      </c>
      <c r="M1" s="41"/>
      <c r="N1" s="41"/>
      <c r="O1" s="41"/>
      <c r="P1" s="41"/>
      <c r="V1" s="37" t="s">
        <v>108</v>
      </c>
    </row>
    <row r="2" customFormat="false" ht="15" hidden="false" customHeight="false" outlineLevel="0" collapsed="false">
      <c r="V2" s="42" t="str">
        <f aca="false">IF(L5="","",L5)</f>
        <v>식비 (장보기)</v>
      </c>
      <c r="W2" s="43" t="n">
        <f aca="false">N5</f>
        <v>0</v>
      </c>
    </row>
    <row r="3" customFormat="false" ht="21" hidden="false" customHeight="true" outlineLevel="0" collapsed="false">
      <c r="B3" s="11" t="s">
        <v>109</v>
      </c>
      <c r="C3" s="11"/>
      <c r="D3" s="11"/>
      <c r="E3" s="11"/>
      <c r="G3" s="11" t="s">
        <v>110</v>
      </c>
      <c r="H3" s="11"/>
      <c r="I3" s="11"/>
      <c r="J3" s="11"/>
      <c r="L3" s="11" t="s">
        <v>111</v>
      </c>
      <c r="M3" s="11"/>
      <c r="N3" s="11"/>
      <c r="O3" s="11"/>
      <c r="P3" s="11"/>
      <c r="R3" s="37" t="s">
        <v>112</v>
      </c>
      <c r="V3" s="42" t="str">
        <f aca="false">IF(L6="","",L6)</f>
        <v>외식 / 카페</v>
      </c>
      <c r="W3" s="43" t="n">
        <f aca="false">N6</f>
        <v>0</v>
      </c>
    </row>
    <row r="4" customFormat="false" ht="16.5" hidden="false" customHeight="true" outlineLevel="0" collapsed="false">
      <c r="B4" s="44" t="s">
        <v>113</v>
      </c>
      <c r="C4" s="44"/>
      <c r="D4" s="45" t="n">
        <f aca="false">D19</f>
        <v>0</v>
      </c>
      <c r="E4" s="45"/>
      <c r="G4" s="12" t="s">
        <v>114</v>
      </c>
      <c r="H4" s="12" t="s">
        <v>115</v>
      </c>
      <c r="I4" s="12" t="s">
        <v>116</v>
      </c>
      <c r="J4" s="12" t="s">
        <v>117</v>
      </c>
      <c r="L4" s="12" t="s">
        <v>115</v>
      </c>
      <c r="M4" s="12" t="s">
        <v>118</v>
      </c>
      <c r="N4" s="12" t="s">
        <v>119</v>
      </c>
      <c r="O4" s="12" t="s">
        <v>120</v>
      </c>
      <c r="P4" s="12" t="s">
        <v>121</v>
      </c>
      <c r="R4" s="46" t="s">
        <v>122</v>
      </c>
      <c r="S4" s="46" t="s">
        <v>118</v>
      </c>
      <c r="T4" s="46" t="s">
        <v>123</v>
      </c>
      <c r="V4" s="42" t="str">
        <f aca="false">IF(L7="","",L7)</f>
        <v>생활용품</v>
      </c>
      <c r="W4" s="43" t="n">
        <f aca="false">N7</f>
        <v>0</v>
      </c>
    </row>
    <row r="5" customFormat="false" ht="19.5" hidden="false" customHeight="true" outlineLevel="0" collapsed="false">
      <c r="B5" s="44" t="s">
        <v>124</v>
      </c>
      <c r="C5" s="44"/>
      <c r="D5" s="45" t="n">
        <f aca="false">E35+J55</f>
        <v>0</v>
      </c>
      <c r="E5" s="45"/>
      <c r="G5" s="47"/>
      <c r="H5" s="69"/>
      <c r="I5" s="48"/>
      <c r="J5" s="49"/>
      <c r="L5" s="50" t="str">
        <f aca="false">IF(설정!$B$31="","",설정!$B$31)</f>
        <v>식비 (장보기)</v>
      </c>
      <c r="M5" s="29" t="n">
        <f aca="false">IF(설정!$C$31="","",설정!$C$31)</f>
        <v>350000</v>
      </c>
      <c r="N5" s="51" t="n">
        <f aca="false">SUMIF($H$5:$H$54,L5,$J$5:$J$54)</f>
        <v>0</v>
      </c>
      <c r="O5" s="52" t="n">
        <f aca="false">IFERROR(N5/M5,0)</f>
        <v>0</v>
      </c>
      <c r="P5" s="53" t="str">
        <f aca="false">IF(M5="","",REPT("■",MIN(10,ROUND(O5*10,0)))&amp;REPT("□",10-MIN(10,ROUND(O5*10,0))))</f>
        <v>□□□□□□□□□□</v>
      </c>
      <c r="R5" s="38" t="s">
        <v>83</v>
      </c>
      <c r="S5" s="39" t="n">
        <f aca="false">C19</f>
        <v>3950000</v>
      </c>
      <c r="T5" s="39" t="n">
        <f aca="false">D19</f>
        <v>0</v>
      </c>
      <c r="V5" s="42" t="str">
        <f aca="false">IF(L8="","",L8)</f>
        <v>교통 / 차량</v>
      </c>
      <c r="W5" s="43" t="n">
        <f aca="false">N8</f>
        <v>0</v>
      </c>
    </row>
    <row r="6" customFormat="false" ht="19.5" hidden="false" customHeight="true" outlineLevel="0" collapsed="false">
      <c r="B6" s="44" t="s">
        <v>127</v>
      </c>
      <c r="C6" s="44"/>
      <c r="D6" s="45" t="n">
        <f aca="false">D45</f>
        <v>0</v>
      </c>
      <c r="E6" s="45"/>
      <c r="G6" s="54"/>
      <c r="H6" s="70"/>
      <c r="I6" s="55"/>
      <c r="J6" s="56"/>
      <c r="L6" s="57" t="str">
        <f aca="false">IF(설정!$B$32="","",설정!$B$32)</f>
        <v>외식 / 카페</v>
      </c>
      <c r="M6" s="32" t="n">
        <f aca="false">IF(설정!$C$32="","",설정!$C$32)</f>
        <v>200000</v>
      </c>
      <c r="N6" s="58" t="n">
        <f aca="false">SUMIF($H$5:$H$54,L6,$J$5:$J$54)</f>
        <v>0</v>
      </c>
      <c r="O6" s="59" t="n">
        <f aca="false">IFERROR(N6/M6,0)</f>
        <v>0</v>
      </c>
      <c r="P6" s="60" t="str">
        <f aca="false">IF(M6="","",REPT("■",MIN(10,ROUND(O6*10,0)))&amp;REPT("□",10-MIN(10,ROUND(O6*10,0))))</f>
        <v>□□□□□□□□□□</v>
      </c>
      <c r="R6" s="38" t="s">
        <v>84</v>
      </c>
      <c r="S6" s="39" t="n">
        <f aca="false">C35+M20</f>
        <v>3179000</v>
      </c>
      <c r="T6" s="39" t="n">
        <f aca="false">E35+J55</f>
        <v>0</v>
      </c>
      <c r="V6" s="42" t="str">
        <f aca="false">IF(L9="","",L9)</f>
        <v>의료 / 건강</v>
      </c>
      <c r="W6" s="43" t="n">
        <f aca="false">N9</f>
        <v>0</v>
      </c>
    </row>
    <row r="7" customFormat="false" ht="19.5" hidden="false" customHeight="true" outlineLevel="0" collapsed="false">
      <c r="B7" s="44" t="s">
        <v>86</v>
      </c>
      <c r="C7" s="44"/>
      <c r="D7" s="45" t="n">
        <f aca="false">D4-D5-D6</f>
        <v>0</v>
      </c>
      <c r="E7" s="45"/>
      <c r="G7" s="47"/>
      <c r="H7" s="69"/>
      <c r="I7" s="48"/>
      <c r="J7" s="49"/>
      <c r="L7" s="50" t="str">
        <f aca="false">IF(설정!$B$33="","",설정!$B$33)</f>
        <v>생활용품</v>
      </c>
      <c r="M7" s="29" t="n">
        <f aca="false">IF(설정!$C$33="","",설정!$C$33)</f>
        <v>80000</v>
      </c>
      <c r="N7" s="51" t="n">
        <f aca="false">SUMIF($H$5:$H$54,L7,$J$5:$J$54)</f>
        <v>0</v>
      </c>
      <c r="O7" s="52" t="n">
        <f aca="false">IFERROR(N7/M7,0)</f>
        <v>0</v>
      </c>
      <c r="P7" s="53" t="str">
        <f aca="false">IF(M7="","",REPT("■",MIN(10,ROUND(O7*10,0)))&amp;REPT("□",10-MIN(10,ROUND(O7*10,0))))</f>
        <v>□□□□□□□□□□</v>
      </c>
      <c r="R7" s="38" t="s">
        <v>132</v>
      </c>
      <c r="S7" s="39" t="n">
        <f aca="false">C45</f>
        <v>1100000</v>
      </c>
      <c r="T7" s="39" t="n">
        <f aca="false">D45</f>
        <v>0</v>
      </c>
      <c r="V7" s="42" t="str">
        <f aca="false">IF(L10="","",L10)</f>
        <v>의류 / 미용</v>
      </c>
      <c r="W7" s="43" t="n">
        <f aca="false">N10</f>
        <v>0</v>
      </c>
    </row>
    <row r="8" customFormat="false" ht="19.5" hidden="false" customHeight="true" outlineLevel="0" collapsed="false">
      <c r="B8" s="44" t="s">
        <v>87</v>
      </c>
      <c r="C8" s="44"/>
      <c r="D8" s="61" t="n">
        <f aca="false">IFERROR((D4-D5)/D4,0)</f>
        <v>0</v>
      </c>
      <c r="E8" s="61"/>
      <c r="G8" s="54"/>
      <c r="H8" s="70"/>
      <c r="I8" s="55"/>
      <c r="J8" s="56"/>
      <c r="L8" s="57" t="str">
        <f aca="false">IF(설정!$B$34="","",설정!$B$34)</f>
        <v>교통 / 차량</v>
      </c>
      <c r="M8" s="32" t="n">
        <f aca="false">IF(설정!$C$34="","",설정!$C$34)</f>
        <v>120000</v>
      </c>
      <c r="N8" s="58" t="n">
        <f aca="false">SUMIF($H$5:$H$54,L8,$J$5:$J$54)</f>
        <v>0</v>
      </c>
      <c r="O8" s="59" t="n">
        <f aca="false">IFERROR(N8/M8,0)</f>
        <v>0</v>
      </c>
      <c r="P8" s="60" t="str">
        <f aca="false">IF(M8="","",REPT("■",MIN(10,ROUND(O8*10,0)))&amp;REPT("□",10-MIN(10,ROUND(O8*10,0))))</f>
        <v>□□□□□□□□□□</v>
      </c>
      <c r="V8" s="42" t="str">
        <f aca="false">IF(L11="","",L11)</f>
        <v>교육 / 자기계발</v>
      </c>
      <c r="W8" s="43" t="n">
        <f aca="false">N11</f>
        <v>0</v>
      </c>
    </row>
    <row r="9" customFormat="false" ht="15" hidden="false" customHeight="false" outlineLevel="0" collapsed="false">
      <c r="G9" s="47"/>
      <c r="H9" s="69"/>
      <c r="I9" s="48"/>
      <c r="J9" s="49"/>
      <c r="L9" s="50" t="str">
        <f aca="false">IF(설정!$B$35="","",설정!$B$35)</f>
        <v>의료 / 건강</v>
      </c>
      <c r="M9" s="29" t="n">
        <f aca="false">IF(설정!$C$35="","",설정!$C$35)</f>
        <v>60000</v>
      </c>
      <c r="N9" s="51" t="n">
        <f aca="false">SUMIF($H$5:$H$54,L9,$J$5:$J$54)</f>
        <v>0</v>
      </c>
      <c r="O9" s="52" t="n">
        <f aca="false">IFERROR(N9/M9,0)</f>
        <v>0</v>
      </c>
      <c r="P9" s="53" t="str">
        <f aca="false">IF(M9="","",REPT("■",MIN(10,ROUND(O9*10,0)))&amp;REPT("□",10-MIN(10,ROUND(O9*10,0))))</f>
        <v>□□□□□□□□□□</v>
      </c>
      <c r="R9" s="38" t="s">
        <v>103</v>
      </c>
      <c r="S9" s="39" t="n">
        <f aca="false">E35</f>
        <v>0</v>
      </c>
      <c r="V9" s="42" t="str">
        <f aca="false">IF(L12="","",L12)</f>
        <v>문화 / 여가</v>
      </c>
      <c r="W9" s="43" t="n">
        <f aca="false">N12</f>
        <v>0</v>
      </c>
    </row>
    <row r="10" customFormat="false" ht="21" hidden="false" customHeight="true" outlineLevel="0" collapsed="false">
      <c r="B10" s="11" t="s">
        <v>83</v>
      </c>
      <c r="C10" s="11"/>
      <c r="D10" s="11"/>
      <c r="E10" s="11"/>
      <c r="G10" s="54"/>
      <c r="H10" s="70"/>
      <c r="I10" s="55"/>
      <c r="J10" s="56"/>
      <c r="L10" s="57" t="str">
        <f aca="false">IF(설정!$B$36="","",설정!$B$36)</f>
        <v>의류 / 미용</v>
      </c>
      <c r="M10" s="32" t="n">
        <f aca="false">IF(설정!$C$36="","",설정!$C$36)</f>
        <v>100000</v>
      </c>
      <c r="N10" s="58" t="n">
        <f aca="false">SUMIF($H$5:$H$54,L10,$J$5:$J$54)</f>
        <v>0</v>
      </c>
      <c r="O10" s="59" t="n">
        <f aca="false">IFERROR(N10/M10,0)</f>
        <v>0</v>
      </c>
      <c r="P10" s="60" t="str">
        <f aca="false">IF(M10="","",REPT("■",MIN(10,ROUND(O10*10,0)))&amp;REPT("□",10-MIN(10,ROUND(O10*10,0))))</f>
        <v>□□□□□□□□□□</v>
      </c>
      <c r="R10" s="38" t="s">
        <v>104</v>
      </c>
      <c r="S10" s="39" t="n">
        <f aca="false">J55</f>
        <v>0</v>
      </c>
      <c r="V10" s="42" t="str">
        <f aca="false">IF(L13="","",L13)</f>
        <v>경조사 / 선물</v>
      </c>
      <c r="W10" s="43" t="n">
        <f aca="false">N13</f>
        <v>0</v>
      </c>
    </row>
    <row r="11" customFormat="false" ht="16.5" hidden="false" customHeight="true" outlineLevel="0" collapsed="false">
      <c r="B11" s="12" t="s">
        <v>23</v>
      </c>
      <c r="C11" s="12" t="s">
        <v>138</v>
      </c>
      <c r="D11" s="12" t="s">
        <v>123</v>
      </c>
      <c r="E11" s="12" t="s">
        <v>139</v>
      </c>
      <c r="G11" s="47"/>
      <c r="H11" s="69"/>
      <c r="I11" s="48"/>
      <c r="J11" s="49"/>
      <c r="L11" s="50" t="str">
        <f aca="false">IF(설정!$B$37="","",설정!$B$37)</f>
        <v>교육 / 자기계발</v>
      </c>
      <c r="M11" s="29" t="n">
        <f aca="false">IF(설정!$C$37="","",설정!$C$37)</f>
        <v>80000</v>
      </c>
      <c r="N11" s="51" t="n">
        <f aca="false">SUMIF($H$5:$H$54,L11,$J$5:$J$54)</f>
        <v>0</v>
      </c>
      <c r="O11" s="52" t="n">
        <f aca="false">IFERROR(N11/M11,0)</f>
        <v>0</v>
      </c>
      <c r="P11" s="53" t="str">
        <f aca="false">IF(M11="","",REPT("■",MIN(10,ROUND(O11*10,0)))&amp;REPT("□",10-MIN(10,ROUND(O11*10,0))))</f>
        <v>□□□□□□□□□□</v>
      </c>
      <c r="V11" s="42" t="str">
        <f aca="false">IF(L14="","",L14)</f>
        <v>자녀 / 육아</v>
      </c>
      <c r="W11" s="43" t="n">
        <f aca="false">N14</f>
        <v>0</v>
      </c>
    </row>
    <row r="12" customFormat="false" ht="16.4" hidden="false" customHeight="false" outlineLevel="0" collapsed="false">
      <c r="B12" s="62" t="str">
        <f aca="false">IF(설정!$B$6="","",설정!$B$6)</f>
        <v>월급 (본업)</v>
      </c>
      <c r="C12" s="63" t="n">
        <f aca="false">IF(설정!$C$6="","",설정!$C$6)</f>
        <v>3500000</v>
      </c>
      <c r="D12" s="64"/>
      <c r="E12" s="63" t="str">
        <f aca="false">IF(D12="","",D12-C12)</f>
        <v/>
      </c>
      <c r="G12" s="54"/>
      <c r="H12" s="70"/>
      <c r="I12" s="55"/>
      <c r="J12" s="56"/>
      <c r="L12" s="57" t="str">
        <f aca="false">IF(설정!$B$38="","",설정!$B$38)</f>
        <v>문화 / 여가</v>
      </c>
      <c r="M12" s="32" t="n">
        <f aca="false">IF(설정!$C$38="","",설정!$C$38)</f>
        <v>80000</v>
      </c>
      <c r="N12" s="58" t="n">
        <f aca="false">SUMIF($H$5:$H$54,L12,$J$5:$J$54)</f>
        <v>0</v>
      </c>
      <c r="O12" s="59" t="n">
        <f aca="false">IFERROR(N12/M12,0)</f>
        <v>0</v>
      </c>
      <c r="P12" s="60" t="str">
        <f aca="false">IF(M12="","",REPT("■",MIN(10,ROUND(O12*10,0)))&amp;REPT("□",10-MIN(10,ROUND(O12*10,0))))</f>
        <v>□□□□□□□□□□</v>
      </c>
      <c r="V12" s="42" t="str">
        <f aca="false">IF(L15="","",L15)</f>
        <v>반려동물</v>
      </c>
      <c r="W12" s="43" t="n">
        <f aca="false">N15</f>
        <v>0</v>
      </c>
    </row>
    <row r="13" customFormat="false" ht="16.4" hidden="false" customHeight="false" outlineLevel="0" collapsed="false">
      <c r="B13" s="62" t="str">
        <f aca="false">IF(설정!$B$7="","",설정!$B$7)</f>
        <v>부수입 / 사이드잡</v>
      </c>
      <c r="C13" s="63" t="n">
        <f aca="false">IF(설정!$C$7="","",설정!$C$7)</f>
        <v>400000</v>
      </c>
      <c r="D13" s="64"/>
      <c r="E13" s="63" t="str">
        <f aca="false">IF(D13="","",D13-C13)</f>
        <v/>
      </c>
      <c r="G13" s="47"/>
      <c r="H13" s="69"/>
      <c r="I13" s="48"/>
      <c r="J13" s="49"/>
      <c r="L13" s="50" t="str">
        <f aca="false">IF(설정!$B$39="","",설정!$B$39)</f>
        <v>경조사 / 선물</v>
      </c>
      <c r="M13" s="29" t="n">
        <f aca="false">IF(설정!$C$39="","",설정!$C$39)</f>
        <v>100000</v>
      </c>
      <c r="N13" s="51" t="n">
        <f aca="false">SUMIF($H$5:$H$54,L13,$J$5:$J$54)</f>
        <v>0</v>
      </c>
      <c r="O13" s="52" t="n">
        <f aca="false">IFERROR(N13/M13,0)</f>
        <v>0</v>
      </c>
      <c r="P13" s="53" t="str">
        <f aca="false">IF(M13="","",REPT("■",MIN(10,ROUND(O13*10,0)))&amp;REPT("□",10-MIN(10,ROUND(O13*10,0))))</f>
        <v>□□□□□□□□□□</v>
      </c>
      <c r="V13" s="42" t="str">
        <f aca="false">IF(L16="","",L16)</f>
        <v>여행</v>
      </c>
      <c r="W13" s="43" t="n">
        <f aca="false">N16</f>
        <v>0</v>
      </c>
    </row>
    <row r="14" customFormat="false" ht="16.4" hidden="false" customHeight="false" outlineLevel="0" collapsed="false">
      <c r="B14" s="62" t="str">
        <f aca="false">IF(설정!$B$8="","",설정!$B$8)</f>
        <v>상여 / 보너스</v>
      </c>
      <c r="C14" s="63" t="n">
        <f aca="false">IF(설정!$C$8="","",설정!$C$8)</f>
        <v>0</v>
      </c>
      <c r="D14" s="64"/>
      <c r="E14" s="63" t="str">
        <f aca="false">IF(D14="","",D14-C14)</f>
        <v/>
      </c>
      <c r="G14" s="54"/>
      <c r="H14" s="70"/>
      <c r="I14" s="55"/>
      <c r="J14" s="56"/>
      <c r="L14" s="57" t="str">
        <f aca="false">IF(설정!$B$40="","",설정!$B$40)</f>
        <v>자녀 / 육아</v>
      </c>
      <c r="M14" s="32" t="n">
        <f aca="false">IF(설정!$C$40="","",설정!$C$40)</f>
        <v>0</v>
      </c>
      <c r="N14" s="58" t="n">
        <f aca="false">SUMIF($H$5:$H$54,L14,$J$5:$J$54)</f>
        <v>0</v>
      </c>
      <c r="O14" s="59" t="n">
        <f aca="false">IFERROR(N14/M14,0)</f>
        <v>0</v>
      </c>
      <c r="P14" s="60" t="str">
        <f aca="false">IF(M14="","",REPT("■",MIN(10,ROUND(O14*10,0)))&amp;REPT("□",10-MIN(10,ROUND(O14*10,0))))</f>
        <v>□□□□□□□□□□</v>
      </c>
      <c r="V14" s="42" t="str">
        <f aca="false">IF(L17="","",L17)</f>
        <v>통신 / 디지털</v>
      </c>
      <c r="W14" s="43" t="n">
        <f aca="false">N17</f>
        <v>0</v>
      </c>
    </row>
    <row r="15" customFormat="false" ht="16.4" hidden="false" customHeight="false" outlineLevel="0" collapsed="false">
      <c r="B15" s="62" t="str">
        <f aca="false">IF(설정!$B$9="","",설정!$B$9)</f>
        <v>이자 / 배당</v>
      </c>
      <c r="C15" s="63" t="n">
        <f aca="false">IF(설정!$C$9="","",설정!$C$9)</f>
        <v>50000</v>
      </c>
      <c r="D15" s="64"/>
      <c r="E15" s="63" t="str">
        <f aca="false">IF(D15="","",D15-C15)</f>
        <v/>
      </c>
      <c r="G15" s="47"/>
      <c r="H15" s="69"/>
      <c r="I15" s="48"/>
      <c r="J15" s="49"/>
      <c r="L15" s="50" t="str">
        <f aca="false">IF(설정!$B$41="","",설정!$B$41)</f>
        <v>반려동물</v>
      </c>
      <c r="M15" s="29" t="n">
        <f aca="false">IF(설정!$C$41="","",설정!$C$41)</f>
        <v>0</v>
      </c>
      <c r="N15" s="51" t="n">
        <f aca="false">SUMIF($H$5:$H$54,L15,$J$5:$J$54)</f>
        <v>0</v>
      </c>
      <c r="O15" s="52" t="n">
        <f aca="false">IFERROR(N15/M15,0)</f>
        <v>0</v>
      </c>
      <c r="P15" s="53" t="str">
        <f aca="false">IF(M15="","",REPT("■",MIN(10,ROUND(O15*10,0)))&amp;REPT("□",10-MIN(10,ROUND(O15*10,0))))</f>
        <v>□□□□□□□□□□</v>
      </c>
      <c r="V15" s="42" t="str">
        <f aca="false">IF(L18="","",L18)</f>
        <v>기부 / 후원</v>
      </c>
      <c r="W15" s="43" t="n">
        <f aca="false">N18</f>
        <v>0</v>
      </c>
    </row>
    <row r="16" customFormat="false" ht="16.4" hidden="false" customHeight="false" outlineLevel="0" collapsed="false">
      <c r="B16" s="62" t="str">
        <f aca="false">IF(설정!$B$10="","",설정!$B$10)</f>
        <v>용돈 / 기타</v>
      </c>
      <c r="C16" s="63" t="n">
        <f aca="false">IF(설정!$C$10="","",설정!$C$10)</f>
        <v>0</v>
      </c>
      <c r="D16" s="64"/>
      <c r="E16" s="63" t="str">
        <f aca="false">IF(D16="","",D16-C16)</f>
        <v/>
      </c>
      <c r="G16" s="54"/>
      <c r="H16" s="70"/>
      <c r="I16" s="55"/>
      <c r="J16" s="56"/>
      <c r="L16" s="57" t="str">
        <f aca="false">IF(설정!$B$42="","",설정!$B$42)</f>
        <v>여행</v>
      </c>
      <c r="M16" s="32" t="n">
        <f aca="false">IF(설정!$C$42="","",설정!$C$42)</f>
        <v>100000</v>
      </c>
      <c r="N16" s="58" t="n">
        <f aca="false">SUMIF($H$5:$H$54,L16,$J$5:$J$54)</f>
        <v>0</v>
      </c>
      <c r="O16" s="59" t="n">
        <f aca="false">IFERROR(N16/M16,0)</f>
        <v>0</v>
      </c>
      <c r="P16" s="60" t="str">
        <f aca="false">IF(M16="","",REPT("■",MIN(10,ROUND(O16*10,0)))&amp;REPT("□",10-MIN(10,ROUND(O16*10,0))))</f>
        <v>□□□□□□□□□□</v>
      </c>
      <c r="V16" s="42" t="str">
        <f aca="false">IF(L19="","",L19)</f>
        <v>기타</v>
      </c>
      <c r="W16" s="43" t="n">
        <f aca="false">N19</f>
        <v>0</v>
      </c>
    </row>
    <row r="17" customFormat="false" ht="15" hidden="false" customHeight="false" outlineLevel="0" collapsed="false">
      <c r="B17" s="62" t="str">
        <f aca="false">IF(설정!$B$11="","",설정!$B$11)</f>
        <v/>
      </c>
      <c r="C17" s="63" t="str">
        <f aca="false">IF(설정!$C$11="","",설정!$C$11)</f>
        <v/>
      </c>
      <c r="D17" s="64"/>
      <c r="E17" s="63" t="str">
        <f aca="false">IF(D17="","",D17-C17)</f>
        <v/>
      </c>
      <c r="G17" s="47"/>
      <c r="H17" s="69"/>
      <c r="I17" s="48"/>
      <c r="J17" s="49"/>
      <c r="L17" s="50" t="str">
        <f aca="false">IF(설정!$B$43="","",설정!$B$43)</f>
        <v>통신 / 디지털</v>
      </c>
      <c r="M17" s="29" t="n">
        <f aca="false">IF(설정!$C$43="","",설정!$C$43)</f>
        <v>30000</v>
      </c>
      <c r="N17" s="51" t="n">
        <f aca="false">SUMIF($H$5:$H$54,L17,$J$5:$J$54)</f>
        <v>0</v>
      </c>
      <c r="O17" s="52" t="n">
        <f aca="false">IFERROR(N17/M17,0)</f>
        <v>0</v>
      </c>
      <c r="P17" s="53" t="str">
        <f aca="false">IF(M17="","",REPT("■",MIN(10,ROUND(O17*10,0)))&amp;REPT("□",10-MIN(10,ROUND(O17*10,0))))</f>
        <v>□□□□□□□□□□</v>
      </c>
      <c r="V17" s="42" t="str">
        <f aca="false">IF(B23="","",B23)</f>
        <v>월세 / 주택대출 상환</v>
      </c>
      <c r="W17" s="43" t="n">
        <f aca="false">E23</f>
        <v>0</v>
      </c>
    </row>
    <row r="18" customFormat="false" ht="15" hidden="false" customHeight="false" outlineLevel="0" collapsed="false">
      <c r="B18" s="62" t="str">
        <f aca="false">IF(설정!$B$12="","",설정!$B$12)</f>
        <v/>
      </c>
      <c r="C18" s="63" t="str">
        <f aca="false">IF(설정!$C$12="","",설정!$C$12)</f>
        <v/>
      </c>
      <c r="D18" s="64"/>
      <c r="E18" s="63" t="str">
        <f aca="false">IF(D18="","",D18-C18)</f>
        <v/>
      </c>
      <c r="G18" s="54"/>
      <c r="H18" s="70"/>
      <c r="I18" s="55"/>
      <c r="J18" s="56"/>
      <c r="L18" s="57" t="str">
        <f aca="false">IF(설정!$B$44="","",설정!$B$44)</f>
        <v>기부 / 후원</v>
      </c>
      <c r="M18" s="32" t="n">
        <f aca="false">IF(설정!$C$44="","",설정!$C$44)</f>
        <v>30000</v>
      </c>
      <c r="N18" s="58" t="n">
        <f aca="false">SUMIF($H$5:$H$54,L18,$J$5:$J$54)</f>
        <v>0</v>
      </c>
      <c r="O18" s="59" t="n">
        <f aca="false">IFERROR(N18/M18,0)</f>
        <v>0</v>
      </c>
      <c r="P18" s="60" t="str">
        <f aca="false">IF(M18="","",REPT("■",MIN(10,ROUND(O18*10,0)))&amp;REPT("□",10-MIN(10,ROUND(O18*10,0))))</f>
        <v>□□□□□□□□□□</v>
      </c>
      <c r="V18" s="42" t="str">
        <f aca="false">IF(B24="","",B24)</f>
        <v>관리비</v>
      </c>
      <c r="W18" s="43" t="n">
        <f aca="false">E24</f>
        <v>0</v>
      </c>
    </row>
    <row r="19" customFormat="false" ht="15" hidden="false" customHeight="false" outlineLevel="0" collapsed="false">
      <c r="B19" s="65" t="s">
        <v>100</v>
      </c>
      <c r="C19" s="35" t="n">
        <f aca="false">SUM(C12:C18)</f>
        <v>3950000</v>
      </c>
      <c r="D19" s="35" t="n">
        <f aca="false">SUM(D12:D18)</f>
        <v>0</v>
      </c>
      <c r="E19" s="35" t="n">
        <f aca="false">D19-C19</f>
        <v>-3950000</v>
      </c>
      <c r="G19" s="47"/>
      <c r="H19" s="69"/>
      <c r="I19" s="48"/>
      <c r="J19" s="49"/>
      <c r="L19" s="50" t="str">
        <f aca="false">IF(설정!$B$45="","",설정!$B$45)</f>
        <v>기타</v>
      </c>
      <c r="M19" s="29" t="n">
        <f aca="false">IF(설정!$C$45="","",설정!$C$45)</f>
        <v>80000</v>
      </c>
      <c r="N19" s="51" t="n">
        <f aca="false">SUMIF($H$5:$H$54,L19,$J$5:$J$54)</f>
        <v>0</v>
      </c>
      <c r="O19" s="52" t="n">
        <f aca="false">IFERROR(N19/M19,0)</f>
        <v>0</v>
      </c>
      <c r="P19" s="53" t="str">
        <f aca="false">IF(M19="","",REPT("■",MIN(10,ROUND(O19*10,0)))&amp;REPT("□",10-MIN(10,ROUND(O19*10,0))))</f>
        <v>□□□□□□□□□□</v>
      </c>
      <c r="V19" s="42" t="str">
        <f aca="false">IF(B25="","",B25)</f>
        <v>통신비 (휴대폰·인터넷)</v>
      </c>
      <c r="W19" s="43" t="n">
        <f aca="false">E25</f>
        <v>0</v>
      </c>
    </row>
    <row r="20" customFormat="false" ht="15" hidden="false" customHeight="false" outlineLevel="0" collapsed="false">
      <c r="G20" s="54"/>
      <c r="H20" s="70"/>
      <c r="I20" s="55"/>
      <c r="J20" s="56"/>
      <c r="L20" s="65" t="s">
        <v>100</v>
      </c>
      <c r="M20" s="35" t="n">
        <f aca="false">SUM(M5:M19)</f>
        <v>1410000</v>
      </c>
      <c r="N20" s="35" t="n">
        <f aca="false">SUM(N5:N19)</f>
        <v>0</v>
      </c>
      <c r="O20" s="66"/>
      <c r="P20" s="66"/>
      <c r="V20" s="42" t="str">
        <f aca="false">IF(B26="","",B26)</f>
        <v>보험료</v>
      </c>
      <c r="W20" s="43" t="n">
        <f aca="false">E26</f>
        <v>0</v>
      </c>
    </row>
    <row r="21" customFormat="false" ht="21" hidden="false" customHeight="true" outlineLevel="0" collapsed="false">
      <c r="B21" s="11" t="s">
        <v>103</v>
      </c>
      <c r="C21" s="11"/>
      <c r="D21" s="11"/>
      <c r="E21" s="11"/>
      <c r="G21" s="47"/>
      <c r="H21" s="69"/>
      <c r="I21" s="48"/>
      <c r="J21" s="49"/>
      <c r="V21" s="42" t="str">
        <f aca="false">IF(B27="","",B27)</f>
        <v>구독 서비스</v>
      </c>
      <c r="W21" s="43" t="n">
        <f aca="false">E27</f>
        <v>0</v>
      </c>
    </row>
    <row r="22" customFormat="false" ht="16.5" hidden="false" customHeight="true" outlineLevel="0" collapsed="false">
      <c r="B22" s="12" t="s">
        <v>23</v>
      </c>
      <c r="C22" s="12" t="s">
        <v>118</v>
      </c>
      <c r="D22" s="12" t="s">
        <v>32</v>
      </c>
      <c r="E22" s="12" t="s">
        <v>123</v>
      </c>
      <c r="G22" s="54"/>
      <c r="H22" s="70"/>
      <c r="I22" s="55"/>
      <c r="J22" s="56"/>
      <c r="V22" s="42" t="str">
        <f aca="false">IF(B28="","",B28)</f>
        <v>교통 정기권</v>
      </c>
      <c r="W22" s="43" t="n">
        <f aca="false">E28</f>
        <v>0</v>
      </c>
    </row>
    <row r="23" customFormat="false" ht="16.4" hidden="false" customHeight="false" outlineLevel="0" collapsed="false">
      <c r="B23" s="62" t="str">
        <f aca="false">IF(설정!$B$16="","",설정!$B$16)</f>
        <v>월세 / 주택대출 상환</v>
      </c>
      <c r="C23" s="63" t="n">
        <f aca="false">IF(설정!$C$16="","",설정!$C$16)</f>
        <v>600000</v>
      </c>
      <c r="D23" s="67" t="str">
        <f aca="false">IF(설정!$D$16="","",설정!$D$16)</f>
        <v>25일</v>
      </c>
      <c r="E23" s="64"/>
      <c r="G23" s="47"/>
      <c r="H23" s="69"/>
      <c r="I23" s="48"/>
      <c r="J23" s="49"/>
      <c r="V23" s="42" t="str">
        <f aca="false">IF(B29="","",B29)</f>
        <v>적금</v>
      </c>
      <c r="W23" s="43" t="n">
        <f aca="false">E29</f>
        <v>0</v>
      </c>
    </row>
    <row r="24" customFormat="false" ht="16.4" hidden="false" customHeight="false" outlineLevel="0" collapsed="false">
      <c r="B24" s="62" t="str">
        <f aca="false">IF(설정!$B$17="","",설정!$B$17)</f>
        <v>관리비</v>
      </c>
      <c r="C24" s="63" t="n">
        <f aca="false">IF(설정!$C$17="","",설정!$C$17)</f>
        <v>150000</v>
      </c>
      <c r="D24" s="67" t="str">
        <f aca="false">IF(설정!$D$17="","",설정!$D$17)</f>
        <v>30일</v>
      </c>
      <c r="E24" s="64"/>
      <c r="G24" s="54"/>
      <c r="H24" s="70"/>
      <c r="I24" s="55"/>
      <c r="J24" s="56"/>
      <c r="V24" s="42" t="str">
        <f aca="false">IF(B30="","",B30)</f>
        <v>청약저축</v>
      </c>
      <c r="W24" s="43" t="n">
        <f aca="false">E30</f>
        <v>0</v>
      </c>
    </row>
    <row r="25" customFormat="false" ht="16.4" hidden="false" customHeight="false" outlineLevel="0" collapsed="false">
      <c r="B25" s="62" t="str">
        <f aca="false">IF(설정!$B$18="","",설정!$B$18)</f>
        <v>통신비 (휴대폰·인터넷)</v>
      </c>
      <c r="C25" s="63" t="n">
        <f aca="false">IF(설정!$C$18="","",설정!$C$18)</f>
        <v>88000</v>
      </c>
      <c r="D25" s="67" t="str">
        <f aca="false">IF(설정!$D$18="","",설정!$D$18)</f>
        <v>15일</v>
      </c>
      <c r="E25" s="64"/>
      <c r="G25" s="47"/>
      <c r="H25" s="69"/>
      <c r="I25" s="48"/>
      <c r="J25" s="49"/>
      <c r="V25" s="42" t="str">
        <f aca="false">IF(B31="","",B31)</f>
        <v>대출 이자</v>
      </c>
      <c r="W25" s="43" t="n">
        <f aca="false">E31</f>
        <v>0</v>
      </c>
    </row>
    <row r="26" customFormat="false" ht="16.4" hidden="false" customHeight="false" outlineLevel="0" collapsed="false">
      <c r="B26" s="62" t="str">
        <f aca="false">IF(설정!$B$19="","",설정!$B$19)</f>
        <v>보험료</v>
      </c>
      <c r="C26" s="63" t="n">
        <f aca="false">IF(설정!$C$19="","",설정!$C$19)</f>
        <v>120000</v>
      </c>
      <c r="D26" s="67" t="str">
        <f aca="false">IF(설정!$D$19="","",설정!$D$19)</f>
        <v>5일</v>
      </c>
      <c r="E26" s="64"/>
      <c r="G26" s="54"/>
      <c r="H26" s="70"/>
      <c r="I26" s="55"/>
      <c r="J26" s="56"/>
      <c r="V26" s="42" t="str">
        <f aca="false">IF(B32="","",B32)</f>
        <v>공과금 (전기·가스·수도)</v>
      </c>
      <c r="W26" s="43" t="n">
        <f aca="false">E32</f>
        <v>0</v>
      </c>
    </row>
    <row r="27" customFormat="false" ht="16.4" hidden="false" customHeight="false" outlineLevel="0" collapsed="false">
      <c r="B27" s="62" t="str">
        <f aca="false">IF(설정!$B$20="","",설정!$B$20)</f>
        <v>구독 서비스</v>
      </c>
      <c r="C27" s="63" t="n">
        <f aca="false">IF(설정!$C$20="","",설정!$C$20)</f>
        <v>29000</v>
      </c>
      <c r="D27" s="67" t="str">
        <f aca="false">IF(설정!$D$20="","",설정!$D$20)</f>
        <v>10일</v>
      </c>
      <c r="E27" s="64"/>
      <c r="G27" s="47"/>
      <c r="H27" s="69"/>
      <c r="I27" s="48"/>
      <c r="J27" s="49"/>
      <c r="V27" s="42" t="str">
        <f aca="false">IF(B33="","",B33)</f>
        <v/>
      </c>
      <c r="W27" s="43" t="n">
        <f aca="false">E33</f>
        <v>0</v>
      </c>
    </row>
    <row r="28" customFormat="false" ht="16.4" hidden="false" customHeight="false" outlineLevel="0" collapsed="false">
      <c r="B28" s="62" t="str">
        <f aca="false">IF(설정!$B$21="","",설정!$B$21)</f>
        <v>교통 정기권</v>
      </c>
      <c r="C28" s="63" t="n">
        <f aca="false">IF(설정!$C$21="","",설정!$C$21)</f>
        <v>62000</v>
      </c>
      <c r="D28" s="67" t="str">
        <f aca="false">IF(설정!$D$21="","",설정!$D$21)</f>
        <v>1일</v>
      </c>
      <c r="E28" s="64"/>
      <c r="G28" s="54"/>
      <c r="H28" s="70"/>
      <c r="I28" s="55"/>
      <c r="J28" s="56"/>
      <c r="V28" s="42" t="str">
        <f aca="false">IF(B34="","",B34)</f>
        <v/>
      </c>
      <c r="W28" s="43" t="n">
        <f aca="false">E34</f>
        <v>0</v>
      </c>
    </row>
    <row r="29" customFormat="false" ht="16.4" hidden="false" customHeight="false" outlineLevel="0" collapsed="false">
      <c r="B29" s="62" t="str">
        <f aca="false">IF(설정!$B$22="","",설정!$B$22)</f>
        <v>적금</v>
      </c>
      <c r="C29" s="63" t="n">
        <f aca="false">IF(설정!$C$22="","",설정!$C$22)</f>
        <v>300000</v>
      </c>
      <c r="D29" s="67" t="str">
        <f aca="false">IF(설정!$D$22="","",설정!$D$22)</f>
        <v>25일</v>
      </c>
      <c r="E29" s="64"/>
      <c r="G29" s="47"/>
      <c r="H29" s="69"/>
      <c r="I29" s="48"/>
      <c r="J29" s="49"/>
    </row>
    <row r="30" customFormat="false" ht="16.4" hidden="false" customHeight="false" outlineLevel="0" collapsed="false">
      <c r="B30" s="62" t="str">
        <f aca="false">IF(설정!$B$23="","",설정!$B$23)</f>
        <v>청약저축</v>
      </c>
      <c r="C30" s="63" t="n">
        <f aca="false">IF(설정!$C$23="","",설정!$C$23)</f>
        <v>100000</v>
      </c>
      <c r="D30" s="67" t="str">
        <f aca="false">IF(설정!$D$23="","",설정!$D$23)</f>
        <v>25일</v>
      </c>
      <c r="E30" s="64"/>
      <c r="G30" s="54"/>
      <c r="H30" s="70"/>
      <c r="I30" s="55"/>
      <c r="J30" s="56"/>
    </row>
    <row r="31" customFormat="false" ht="16.4" hidden="false" customHeight="false" outlineLevel="0" collapsed="false">
      <c r="B31" s="62" t="str">
        <f aca="false">IF(설정!$B$24="","",설정!$B$24)</f>
        <v>대출 이자</v>
      </c>
      <c r="C31" s="63" t="n">
        <f aca="false">IF(설정!$C$24="","",설정!$C$24)</f>
        <v>180000</v>
      </c>
      <c r="D31" s="67" t="str">
        <f aca="false">IF(설정!$D$24="","",설정!$D$24)</f>
        <v>25일</v>
      </c>
      <c r="E31" s="64"/>
      <c r="G31" s="47"/>
      <c r="H31" s="69"/>
      <c r="I31" s="48"/>
      <c r="J31" s="49"/>
    </row>
    <row r="32" customFormat="false" ht="16.4" hidden="false" customHeight="false" outlineLevel="0" collapsed="false">
      <c r="B32" s="62" t="str">
        <f aca="false">IF(설정!$B$25="","",설정!$B$25)</f>
        <v>공과금 (전기·가스·수도)</v>
      </c>
      <c r="C32" s="63" t="n">
        <f aca="false">IF(설정!$C$25="","",설정!$C$25)</f>
        <v>140000</v>
      </c>
      <c r="D32" s="67" t="str">
        <f aca="false">IF(설정!$D$25="","",설정!$D$25)</f>
        <v>말일</v>
      </c>
      <c r="E32" s="64"/>
      <c r="G32" s="54"/>
      <c r="H32" s="70"/>
      <c r="I32" s="55"/>
      <c r="J32" s="56"/>
    </row>
    <row r="33" customFormat="false" ht="15" hidden="false" customHeight="false" outlineLevel="0" collapsed="false">
      <c r="B33" s="62" t="str">
        <f aca="false">IF(설정!$B$26="","",설정!$B$26)</f>
        <v/>
      </c>
      <c r="C33" s="63" t="str">
        <f aca="false">IF(설정!$C$26="","",설정!$C$26)</f>
        <v/>
      </c>
      <c r="D33" s="67" t="str">
        <f aca="false">IF(설정!$D$26="","",설정!$D$26)</f>
        <v/>
      </c>
      <c r="E33" s="64"/>
      <c r="G33" s="47"/>
      <c r="H33" s="69"/>
      <c r="I33" s="48"/>
      <c r="J33" s="49"/>
    </row>
    <row r="34" customFormat="false" ht="15" hidden="false" customHeight="false" outlineLevel="0" collapsed="false">
      <c r="B34" s="62" t="str">
        <f aca="false">IF(설정!$B$27="","",설정!$B$27)</f>
        <v/>
      </c>
      <c r="C34" s="63" t="str">
        <f aca="false">IF(설정!$C$27="","",설정!$C$27)</f>
        <v/>
      </c>
      <c r="D34" s="67" t="str">
        <f aca="false">IF(설정!$D$27="","",설정!$D$27)</f>
        <v/>
      </c>
      <c r="E34" s="64"/>
      <c r="G34" s="54"/>
      <c r="H34" s="70"/>
      <c r="I34" s="55"/>
      <c r="J34" s="56"/>
    </row>
    <row r="35" customFormat="false" ht="15" hidden="false" customHeight="false" outlineLevel="0" collapsed="false">
      <c r="B35" s="65" t="s">
        <v>100</v>
      </c>
      <c r="C35" s="35" t="n">
        <f aca="false">SUM(C23:C34)</f>
        <v>1769000</v>
      </c>
      <c r="D35" s="66"/>
      <c r="E35" s="35" t="n">
        <f aca="false">SUM(E23:E34)</f>
        <v>0</v>
      </c>
      <c r="G35" s="47"/>
      <c r="H35" s="69"/>
      <c r="I35" s="48"/>
      <c r="J35" s="49"/>
    </row>
    <row r="36" customFormat="false" ht="15" hidden="false" customHeight="false" outlineLevel="0" collapsed="false">
      <c r="G36" s="54"/>
      <c r="H36" s="70"/>
      <c r="I36" s="55"/>
      <c r="J36" s="56"/>
    </row>
    <row r="37" customFormat="false" ht="21" hidden="false" customHeight="true" outlineLevel="0" collapsed="false">
      <c r="B37" s="11" t="s">
        <v>155</v>
      </c>
      <c r="C37" s="11"/>
      <c r="D37" s="11"/>
      <c r="E37" s="11"/>
      <c r="G37" s="47"/>
      <c r="H37" s="69"/>
      <c r="I37" s="48"/>
      <c r="J37" s="49"/>
    </row>
    <row r="38" customFormat="false" ht="16.5" hidden="false" customHeight="true" outlineLevel="0" collapsed="false">
      <c r="B38" s="12" t="s">
        <v>23</v>
      </c>
      <c r="C38" s="12" t="s">
        <v>156</v>
      </c>
      <c r="D38" s="12" t="s">
        <v>123</v>
      </c>
      <c r="E38" s="12" t="s">
        <v>139</v>
      </c>
      <c r="G38" s="54"/>
      <c r="H38" s="70"/>
      <c r="I38" s="55"/>
      <c r="J38" s="56"/>
    </row>
    <row r="39" customFormat="false" ht="15" hidden="false" customHeight="false" outlineLevel="0" collapsed="false">
      <c r="B39" s="62" t="str">
        <f aca="false">IF(설정!$B$49="","",설정!$B$49)</f>
        <v>비상금</v>
      </c>
      <c r="C39" s="63" t="n">
        <f aca="false">IF(설정!$C$49="","",설정!$C$49)</f>
        <v>150000</v>
      </c>
      <c r="D39" s="64"/>
      <c r="E39" s="63" t="str">
        <f aca="false">IF(D39="","",D39-C39)</f>
        <v/>
      </c>
      <c r="G39" s="47"/>
      <c r="H39" s="69"/>
      <c r="I39" s="48"/>
      <c r="J39" s="49"/>
    </row>
    <row r="40" customFormat="false" ht="16.4" hidden="false" customHeight="false" outlineLevel="0" collapsed="false">
      <c r="B40" s="62" t="str">
        <f aca="false">IF(설정!$B$50="","",설정!$B$50)</f>
        <v>청약 / 내집마련</v>
      </c>
      <c r="C40" s="63" t="n">
        <f aca="false">IF(설정!$C$50="","",설정!$C$50)</f>
        <v>100000</v>
      </c>
      <c r="D40" s="64"/>
      <c r="E40" s="63" t="str">
        <f aca="false">IF(D40="","",D40-C40)</f>
        <v/>
      </c>
      <c r="G40" s="54"/>
      <c r="H40" s="70"/>
      <c r="I40" s="55"/>
      <c r="J40" s="56"/>
    </row>
    <row r="41" customFormat="false" ht="16.4" hidden="false" customHeight="false" outlineLevel="0" collapsed="false">
      <c r="B41" s="62" t="str">
        <f aca="false">IF(설정!$B$51="","",설정!$B$51)</f>
        <v>투자 (ETF·주식)</v>
      </c>
      <c r="C41" s="63" t="n">
        <f aca="false">IF(설정!$C$51="","",설정!$C$51)</f>
        <v>400000</v>
      </c>
      <c r="D41" s="64"/>
      <c r="E41" s="63" t="str">
        <f aca="false">IF(D41="","",D41-C41)</f>
        <v/>
      </c>
      <c r="G41" s="47"/>
      <c r="H41" s="69"/>
      <c r="I41" s="48"/>
      <c r="J41" s="49"/>
    </row>
    <row r="42" customFormat="false" ht="15" hidden="false" customHeight="false" outlineLevel="0" collapsed="false">
      <c r="B42" s="62" t="str">
        <f aca="false">IF(설정!$B$52="","",설정!$B$52)</f>
        <v>여행 자금</v>
      </c>
      <c r="C42" s="63" t="n">
        <f aca="false">IF(설정!$C$52="","",설정!$C$52)</f>
        <v>100000</v>
      </c>
      <c r="D42" s="64"/>
      <c r="E42" s="63" t="str">
        <f aca="false">IF(D42="","",D42-C42)</f>
        <v/>
      </c>
      <c r="G42" s="54"/>
      <c r="H42" s="70"/>
      <c r="I42" s="55"/>
      <c r="J42" s="56"/>
    </row>
    <row r="43" customFormat="false" ht="16.4" hidden="false" customHeight="false" outlineLevel="0" collapsed="false">
      <c r="B43" s="62" t="str">
        <f aca="false">IF(설정!$B$53="","",설정!$B$53)</f>
        <v>노후 / 연금</v>
      </c>
      <c r="C43" s="63" t="n">
        <f aca="false">IF(설정!$C$53="","",설정!$C$53)</f>
        <v>200000</v>
      </c>
      <c r="D43" s="64"/>
      <c r="E43" s="63" t="str">
        <f aca="false">IF(D43="","",D43-C43)</f>
        <v/>
      </c>
      <c r="G43" s="47"/>
      <c r="H43" s="69"/>
      <c r="I43" s="48"/>
      <c r="J43" s="49"/>
    </row>
    <row r="44" customFormat="false" ht="15" hidden="false" customHeight="false" outlineLevel="0" collapsed="false">
      <c r="B44" s="62" t="str">
        <f aca="false">IF(설정!$B$54="","",설정!$B$54)</f>
        <v>목표 저축</v>
      </c>
      <c r="C44" s="63" t="n">
        <f aca="false">IF(설정!$C$54="","",설정!$C$54)</f>
        <v>150000</v>
      </c>
      <c r="D44" s="64"/>
      <c r="E44" s="63" t="str">
        <f aca="false">IF(D44="","",D44-C44)</f>
        <v/>
      </c>
      <c r="G44" s="54"/>
      <c r="H44" s="70"/>
      <c r="I44" s="55"/>
      <c r="J44" s="56"/>
    </row>
    <row r="45" customFormat="false" ht="15" hidden="false" customHeight="false" outlineLevel="0" collapsed="false">
      <c r="B45" s="65" t="s">
        <v>100</v>
      </c>
      <c r="C45" s="35" t="n">
        <f aca="false">SUM(C39:C44)</f>
        <v>1100000</v>
      </c>
      <c r="D45" s="35" t="n">
        <f aca="false">SUM(D39:D44)</f>
        <v>0</v>
      </c>
      <c r="E45" s="35" t="n">
        <f aca="false">D45-C45</f>
        <v>-1100000</v>
      </c>
      <c r="G45" s="47"/>
      <c r="H45" s="69"/>
      <c r="I45" s="48"/>
      <c r="J45" s="49"/>
    </row>
    <row r="46" customFormat="false" ht="15" hidden="false" customHeight="false" outlineLevel="0" collapsed="false">
      <c r="G46" s="54"/>
      <c r="H46" s="70"/>
      <c r="I46" s="55"/>
      <c r="J46" s="56"/>
    </row>
    <row r="47" customFormat="false" ht="21" hidden="false" customHeight="true" outlineLevel="0" collapsed="false">
      <c r="B47" s="11" t="s">
        <v>157</v>
      </c>
      <c r="C47" s="11"/>
      <c r="D47" s="11"/>
      <c r="E47" s="11"/>
      <c r="G47" s="47"/>
      <c r="H47" s="69"/>
      <c r="I47" s="48"/>
      <c r="J47" s="49"/>
    </row>
    <row r="48" customFormat="false" ht="15" hidden="false" customHeight="false" outlineLevel="0" collapsed="false">
      <c r="B48" s="68"/>
      <c r="C48" s="68"/>
      <c r="D48" s="68"/>
      <c r="E48" s="68"/>
      <c r="G48" s="54"/>
      <c r="H48" s="70"/>
      <c r="I48" s="55"/>
      <c r="J48" s="56"/>
    </row>
    <row r="49" customFormat="false" ht="15" hidden="false" customHeight="false" outlineLevel="0" collapsed="false">
      <c r="B49" s="68"/>
      <c r="C49" s="68"/>
      <c r="D49" s="68"/>
      <c r="E49" s="68"/>
      <c r="G49" s="47"/>
      <c r="H49" s="69"/>
      <c r="I49" s="48"/>
      <c r="J49" s="49"/>
    </row>
    <row r="50" customFormat="false" ht="15" hidden="false" customHeight="false" outlineLevel="0" collapsed="false">
      <c r="B50" s="68"/>
      <c r="C50" s="68"/>
      <c r="D50" s="68"/>
      <c r="E50" s="68"/>
      <c r="G50" s="54"/>
      <c r="H50" s="70"/>
      <c r="I50" s="55"/>
      <c r="J50" s="56"/>
    </row>
    <row r="51" customFormat="false" ht="15" hidden="false" customHeight="false" outlineLevel="0" collapsed="false">
      <c r="B51" s="68"/>
      <c r="C51" s="68"/>
      <c r="D51" s="68"/>
      <c r="E51" s="68"/>
      <c r="G51" s="47"/>
      <c r="H51" s="69"/>
      <c r="I51" s="48"/>
      <c r="J51" s="49"/>
    </row>
    <row r="52" customFormat="false" ht="15" hidden="false" customHeight="false" outlineLevel="0" collapsed="false">
      <c r="G52" s="54"/>
      <c r="H52" s="70"/>
      <c r="I52" s="55"/>
      <c r="J52" s="56"/>
    </row>
    <row r="53" customFormat="false" ht="15" hidden="false" customHeight="false" outlineLevel="0" collapsed="false">
      <c r="G53" s="47"/>
      <c r="H53" s="69"/>
      <c r="I53" s="48"/>
      <c r="J53" s="49"/>
    </row>
    <row r="54" customFormat="false" ht="15" hidden="false" customHeight="false" outlineLevel="0" collapsed="false">
      <c r="G54" s="54"/>
      <c r="H54" s="70"/>
      <c r="I54" s="55"/>
      <c r="J54" s="56"/>
    </row>
    <row r="55" customFormat="false" ht="15" hidden="false" customHeight="false" outlineLevel="0" collapsed="false">
      <c r="G55" s="65" t="s">
        <v>100</v>
      </c>
      <c r="H55" s="66"/>
      <c r="I55" s="66"/>
      <c r="J55" s="35" t="n">
        <f aca="false">SUM(J5:J54)</f>
        <v>0</v>
      </c>
    </row>
  </sheetData>
  <mergeCells count="19">
    <mergeCell ref="L1:P1"/>
    <mergeCell ref="B3:E3"/>
    <mergeCell ref="G3:J3"/>
    <mergeCell ref="L3:P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10:E10"/>
    <mergeCell ref="B21:E21"/>
    <mergeCell ref="B37:E37"/>
    <mergeCell ref="B47:E47"/>
    <mergeCell ref="B48:E51"/>
  </mergeCells>
  <conditionalFormatting sqref="O5:O19">
    <cfRule type="cellIs" priority="2" operator="greaterThan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H5:H54" type="list">
      <formula1>분류목록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52"/>
    <pageSetUpPr fitToPage="false"/>
  </sheetPr>
  <dimension ref="B2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4" min="3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2"/>
  </cols>
  <sheetData>
    <row r="2" customFormat="false" ht="30.55" hidden="false" customHeight="false" outlineLevel="0" collapsed="false">
      <c r="B2" s="23" t="s">
        <v>169</v>
      </c>
    </row>
    <row r="3" customFormat="false" ht="16.4" hidden="false" customHeight="false" outlineLevel="0" collapsed="false">
      <c r="B3" s="24" t="s">
        <v>170</v>
      </c>
    </row>
    <row r="5" customFormat="false" ht="15" hidden="false" customHeight="false" outlineLevel="0" collapsed="false">
      <c r="B5" s="46" t="s">
        <v>115</v>
      </c>
      <c r="C5" s="71" t="s">
        <v>171</v>
      </c>
      <c r="D5" s="71" t="s">
        <v>172</v>
      </c>
      <c r="E5" s="71" t="s">
        <v>173</v>
      </c>
      <c r="F5" s="71" t="s">
        <v>174</v>
      </c>
      <c r="G5" s="71" t="s">
        <v>175</v>
      </c>
      <c r="H5" s="71" t="s">
        <v>176</v>
      </c>
      <c r="I5" s="71" t="s">
        <v>177</v>
      </c>
      <c r="J5" s="71" t="s">
        <v>178</v>
      </c>
      <c r="K5" s="71" t="s">
        <v>179</v>
      </c>
      <c r="L5" s="71" t="s">
        <v>180</v>
      </c>
      <c r="M5" s="71" t="s">
        <v>181</v>
      </c>
      <c r="N5" s="71" t="s">
        <v>182</v>
      </c>
      <c r="O5" s="46" t="s">
        <v>100</v>
      </c>
      <c r="P5" s="46" t="s">
        <v>101</v>
      </c>
      <c r="Q5" s="46" t="s">
        <v>183</v>
      </c>
      <c r="R5" s="46" t="s">
        <v>184</v>
      </c>
    </row>
    <row r="6" customFormat="false" ht="15" hidden="false" customHeight="false" outlineLevel="0" collapsed="false">
      <c r="B6" s="50" t="str">
        <f aca="false">IF(설정!$B$31="","",설정!$B$31)</f>
        <v>식비 (장보기)</v>
      </c>
      <c r="C6" s="72" t="n">
        <f aca="false">'1월'!N5</f>
        <v>183000</v>
      </c>
      <c r="D6" s="72" t="n">
        <f aca="false">'2월'!N5</f>
        <v>0</v>
      </c>
      <c r="E6" s="72" t="n">
        <f aca="false">'3월'!N5</f>
        <v>0</v>
      </c>
      <c r="F6" s="72" t="n">
        <f aca="false">'4월'!N5</f>
        <v>0</v>
      </c>
      <c r="G6" s="72" t="n">
        <f aca="false">'5월'!N5</f>
        <v>0</v>
      </c>
      <c r="H6" s="72" t="n">
        <f aca="false">'6월'!N5</f>
        <v>0</v>
      </c>
      <c r="I6" s="72" t="n">
        <f aca="false">'7월'!N5</f>
        <v>0</v>
      </c>
      <c r="J6" s="72" t="n">
        <f aca="false">'8월'!N5</f>
        <v>0</v>
      </c>
      <c r="K6" s="72" t="n">
        <f aca="false">'9월'!N5</f>
        <v>0</v>
      </c>
      <c r="L6" s="72" t="n">
        <f aca="false">'10월'!N5</f>
        <v>0</v>
      </c>
      <c r="M6" s="72" t="n">
        <f aca="false">'11월'!N5</f>
        <v>0</v>
      </c>
      <c r="N6" s="72" t="n">
        <f aca="false">'12월'!N5</f>
        <v>0</v>
      </c>
      <c r="O6" s="73" t="n">
        <f aca="false">SUM(C6:N6)</f>
        <v>183000</v>
      </c>
      <c r="P6" s="29" t="n">
        <f aca="false">O6/12</f>
        <v>15250</v>
      </c>
      <c r="Q6" s="29" t="n">
        <f aca="false">IF(설정!$C$31="","",설정!$C$31*12)</f>
        <v>4200000</v>
      </c>
      <c r="R6" s="29" t="n">
        <f aca="false">IF(Q6="","",Q6-O6)</f>
        <v>4017000</v>
      </c>
    </row>
    <row r="7" customFormat="false" ht="15" hidden="false" customHeight="false" outlineLevel="0" collapsed="false">
      <c r="B7" s="57" t="str">
        <f aca="false">IF(설정!$B$32="","",설정!$B$32)</f>
        <v>외식 / 카페</v>
      </c>
      <c r="C7" s="74" t="n">
        <f aca="false">'1월'!N6</f>
        <v>96000</v>
      </c>
      <c r="D7" s="74" t="n">
        <f aca="false">'2월'!N6</f>
        <v>0</v>
      </c>
      <c r="E7" s="74" t="n">
        <f aca="false">'3월'!N6</f>
        <v>0</v>
      </c>
      <c r="F7" s="74" t="n">
        <f aca="false">'4월'!N6</f>
        <v>0</v>
      </c>
      <c r="G7" s="74" t="n">
        <f aca="false">'5월'!N6</f>
        <v>0</v>
      </c>
      <c r="H7" s="74" t="n">
        <f aca="false">'6월'!N6</f>
        <v>0</v>
      </c>
      <c r="I7" s="74" t="n">
        <f aca="false">'7월'!N6</f>
        <v>0</v>
      </c>
      <c r="J7" s="74" t="n">
        <f aca="false">'8월'!N6</f>
        <v>0</v>
      </c>
      <c r="K7" s="74" t="n">
        <f aca="false">'9월'!N6</f>
        <v>0</v>
      </c>
      <c r="L7" s="74" t="n">
        <f aca="false">'10월'!N6</f>
        <v>0</v>
      </c>
      <c r="M7" s="74" t="n">
        <f aca="false">'11월'!N6</f>
        <v>0</v>
      </c>
      <c r="N7" s="74" t="n">
        <f aca="false">'12월'!N6</f>
        <v>0</v>
      </c>
      <c r="O7" s="75" t="n">
        <f aca="false">SUM(C7:N7)</f>
        <v>96000</v>
      </c>
      <c r="P7" s="32" t="n">
        <f aca="false">O7/12</f>
        <v>8000</v>
      </c>
      <c r="Q7" s="32" t="n">
        <f aca="false">IF(설정!$C$32="","",설정!$C$32*12)</f>
        <v>2400000</v>
      </c>
      <c r="R7" s="32" t="n">
        <f aca="false">IF(Q7="","",Q7-O7)</f>
        <v>2304000</v>
      </c>
    </row>
    <row r="8" customFormat="false" ht="15" hidden="false" customHeight="false" outlineLevel="0" collapsed="false">
      <c r="B8" s="50" t="str">
        <f aca="false">IF(설정!$B$33="","",설정!$B$33)</f>
        <v>생활용품</v>
      </c>
      <c r="C8" s="72" t="n">
        <f aca="false">'1월'!N7</f>
        <v>23000</v>
      </c>
      <c r="D8" s="72" t="n">
        <f aca="false">'2월'!N7</f>
        <v>0</v>
      </c>
      <c r="E8" s="72" t="n">
        <f aca="false">'3월'!N7</f>
        <v>0</v>
      </c>
      <c r="F8" s="72" t="n">
        <f aca="false">'4월'!N7</f>
        <v>0</v>
      </c>
      <c r="G8" s="72" t="n">
        <f aca="false">'5월'!N7</f>
        <v>0</v>
      </c>
      <c r="H8" s="72" t="n">
        <f aca="false">'6월'!N7</f>
        <v>0</v>
      </c>
      <c r="I8" s="72" t="n">
        <f aca="false">'7월'!N7</f>
        <v>0</v>
      </c>
      <c r="J8" s="72" t="n">
        <f aca="false">'8월'!N7</f>
        <v>0</v>
      </c>
      <c r="K8" s="72" t="n">
        <f aca="false">'9월'!N7</f>
        <v>0</v>
      </c>
      <c r="L8" s="72" t="n">
        <f aca="false">'10월'!N7</f>
        <v>0</v>
      </c>
      <c r="M8" s="72" t="n">
        <f aca="false">'11월'!N7</f>
        <v>0</v>
      </c>
      <c r="N8" s="72" t="n">
        <f aca="false">'12월'!N7</f>
        <v>0</v>
      </c>
      <c r="O8" s="73" t="n">
        <f aca="false">SUM(C8:N8)</f>
        <v>23000</v>
      </c>
      <c r="P8" s="29" t="n">
        <f aca="false">O8/12</f>
        <v>1916.66666666667</v>
      </c>
      <c r="Q8" s="29" t="n">
        <f aca="false">IF(설정!$C$33="","",설정!$C$33*12)</f>
        <v>960000</v>
      </c>
      <c r="R8" s="29" t="n">
        <f aca="false">IF(Q8="","",Q8-O8)</f>
        <v>937000</v>
      </c>
    </row>
    <row r="9" customFormat="false" ht="15" hidden="false" customHeight="false" outlineLevel="0" collapsed="false">
      <c r="B9" s="57" t="str">
        <f aca="false">IF(설정!$B$34="","",설정!$B$34)</f>
        <v>교통 / 차량</v>
      </c>
      <c r="C9" s="74" t="n">
        <f aca="false">'1월'!N8</f>
        <v>70000</v>
      </c>
      <c r="D9" s="74" t="n">
        <f aca="false">'2월'!N8</f>
        <v>0</v>
      </c>
      <c r="E9" s="74" t="n">
        <f aca="false">'3월'!N8</f>
        <v>0</v>
      </c>
      <c r="F9" s="74" t="n">
        <f aca="false">'4월'!N8</f>
        <v>0</v>
      </c>
      <c r="G9" s="74" t="n">
        <f aca="false">'5월'!N8</f>
        <v>0</v>
      </c>
      <c r="H9" s="74" t="n">
        <f aca="false">'6월'!N8</f>
        <v>0</v>
      </c>
      <c r="I9" s="74" t="n">
        <f aca="false">'7월'!N8</f>
        <v>0</v>
      </c>
      <c r="J9" s="74" t="n">
        <f aca="false">'8월'!N8</f>
        <v>0</v>
      </c>
      <c r="K9" s="74" t="n">
        <f aca="false">'9월'!N8</f>
        <v>0</v>
      </c>
      <c r="L9" s="74" t="n">
        <f aca="false">'10월'!N8</f>
        <v>0</v>
      </c>
      <c r="M9" s="74" t="n">
        <f aca="false">'11월'!N8</f>
        <v>0</v>
      </c>
      <c r="N9" s="74" t="n">
        <f aca="false">'12월'!N8</f>
        <v>0</v>
      </c>
      <c r="O9" s="75" t="n">
        <f aca="false">SUM(C9:N9)</f>
        <v>70000</v>
      </c>
      <c r="P9" s="32" t="n">
        <f aca="false">O9/12</f>
        <v>5833.33333333333</v>
      </c>
      <c r="Q9" s="32" t="n">
        <f aca="false">IF(설정!$C$34="","",설정!$C$34*12)</f>
        <v>1440000</v>
      </c>
      <c r="R9" s="32" t="n">
        <f aca="false">IF(Q9="","",Q9-O9)</f>
        <v>1370000</v>
      </c>
    </row>
    <row r="10" customFormat="false" ht="15" hidden="false" customHeight="false" outlineLevel="0" collapsed="false">
      <c r="B10" s="50" t="str">
        <f aca="false">IF(설정!$B$35="","",설정!$B$35)</f>
        <v>의료 / 건강</v>
      </c>
      <c r="C10" s="72" t="n">
        <f aca="false">'1월'!N9</f>
        <v>12000</v>
      </c>
      <c r="D10" s="72" t="n">
        <f aca="false">'2월'!N9</f>
        <v>0</v>
      </c>
      <c r="E10" s="72" t="n">
        <f aca="false">'3월'!N9</f>
        <v>0</v>
      </c>
      <c r="F10" s="72" t="n">
        <f aca="false">'4월'!N9</f>
        <v>0</v>
      </c>
      <c r="G10" s="72" t="n">
        <f aca="false">'5월'!N9</f>
        <v>0</v>
      </c>
      <c r="H10" s="72" t="n">
        <f aca="false">'6월'!N9</f>
        <v>0</v>
      </c>
      <c r="I10" s="72" t="n">
        <f aca="false">'7월'!N9</f>
        <v>0</v>
      </c>
      <c r="J10" s="72" t="n">
        <f aca="false">'8월'!N9</f>
        <v>0</v>
      </c>
      <c r="K10" s="72" t="n">
        <f aca="false">'9월'!N9</f>
        <v>0</v>
      </c>
      <c r="L10" s="72" t="n">
        <f aca="false">'10월'!N9</f>
        <v>0</v>
      </c>
      <c r="M10" s="72" t="n">
        <f aca="false">'11월'!N9</f>
        <v>0</v>
      </c>
      <c r="N10" s="72" t="n">
        <f aca="false">'12월'!N9</f>
        <v>0</v>
      </c>
      <c r="O10" s="73" t="n">
        <f aca="false">SUM(C10:N10)</f>
        <v>12000</v>
      </c>
      <c r="P10" s="29" t="n">
        <f aca="false">O10/12</f>
        <v>1000</v>
      </c>
      <c r="Q10" s="29" t="n">
        <f aca="false">IF(설정!$C$35="","",설정!$C$35*12)</f>
        <v>720000</v>
      </c>
      <c r="R10" s="29" t="n">
        <f aca="false">IF(Q10="","",Q10-O10)</f>
        <v>708000</v>
      </c>
    </row>
    <row r="11" customFormat="false" ht="15" hidden="false" customHeight="false" outlineLevel="0" collapsed="false">
      <c r="B11" s="57" t="str">
        <f aca="false">IF(설정!$B$36="","",설정!$B$36)</f>
        <v>의류 / 미용</v>
      </c>
      <c r="C11" s="74" t="n">
        <f aca="false">'1월'!N10</f>
        <v>45000</v>
      </c>
      <c r="D11" s="74" t="n">
        <f aca="false">'2월'!N10</f>
        <v>0</v>
      </c>
      <c r="E11" s="74" t="n">
        <f aca="false">'3월'!N10</f>
        <v>0</v>
      </c>
      <c r="F11" s="74" t="n">
        <f aca="false">'4월'!N10</f>
        <v>0</v>
      </c>
      <c r="G11" s="74" t="n">
        <f aca="false">'5월'!N10</f>
        <v>0</v>
      </c>
      <c r="H11" s="74" t="n">
        <f aca="false">'6월'!N10</f>
        <v>0</v>
      </c>
      <c r="I11" s="74" t="n">
        <f aca="false">'7월'!N10</f>
        <v>0</v>
      </c>
      <c r="J11" s="74" t="n">
        <f aca="false">'8월'!N10</f>
        <v>0</v>
      </c>
      <c r="K11" s="74" t="n">
        <f aca="false">'9월'!N10</f>
        <v>0</v>
      </c>
      <c r="L11" s="74" t="n">
        <f aca="false">'10월'!N10</f>
        <v>0</v>
      </c>
      <c r="M11" s="74" t="n">
        <f aca="false">'11월'!N10</f>
        <v>0</v>
      </c>
      <c r="N11" s="74" t="n">
        <f aca="false">'12월'!N10</f>
        <v>0</v>
      </c>
      <c r="O11" s="75" t="n">
        <f aca="false">SUM(C11:N11)</f>
        <v>45000</v>
      </c>
      <c r="P11" s="32" t="n">
        <f aca="false">O11/12</f>
        <v>3750</v>
      </c>
      <c r="Q11" s="32" t="n">
        <f aca="false">IF(설정!$C$36="","",설정!$C$36*12)</f>
        <v>1200000</v>
      </c>
      <c r="R11" s="32" t="n">
        <f aca="false">IF(Q11="","",Q11-O11)</f>
        <v>1155000</v>
      </c>
    </row>
    <row r="12" customFormat="false" ht="15" hidden="false" customHeight="false" outlineLevel="0" collapsed="false">
      <c r="B12" s="50" t="str">
        <f aca="false">IF(설정!$B$37="","",설정!$B$37)</f>
        <v>교육 / 자기계발</v>
      </c>
      <c r="C12" s="72" t="n">
        <f aca="false">'1월'!N11</f>
        <v>39000</v>
      </c>
      <c r="D12" s="72" t="n">
        <f aca="false">'2월'!N11</f>
        <v>0</v>
      </c>
      <c r="E12" s="72" t="n">
        <f aca="false">'3월'!N11</f>
        <v>0</v>
      </c>
      <c r="F12" s="72" t="n">
        <f aca="false">'4월'!N11</f>
        <v>0</v>
      </c>
      <c r="G12" s="72" t="n">
        <f aca="false">'5월'!N11</f>
        <v>0</v>
      </c>
      <c r="H12" s="72" t="n">
        <f aca="false">'6월'!N11</f>
        <v>0</v>
      </c>
      <c r="I12" s="72" t="n">
        <f aca="false">'7월'!N11</f>
        <v>0</v>
      </c>
      <c r="J12" s="72" t="n">
        <f aca="false">'8월'!N11</f>
        <v>0</v>
      </c>
      <c r="K12" s="72" t="n">
        <f aca="false">'9월'!N11</f>
        <v>0</v>
      </c>
      <c r="L12" s="72" t="n">
        <f aca="false">'10월'!N11</f>
        <v>0</v>
      </c>
      <c r="M12" s="72" t="n">
        <f aca="false">'11월'!N11</f>
        <v>0</v>
      </c>
      <c r="N12" s="72" t="n">
        <f aca="false">'12월'!N11</f>
        <v>0</v>
      </c>
      <c r="O12" s="73" t="n">
        <f aca="false">SUM(C12:N12)</f>
        <v>39000</v>
      </c>
      <c r="P12" s="29" t="n">
        <f aca="false">O12/12</f>
        <v>3250</v>
      </c>
      <c r="Q12" s="29" t="n">
        <f aca="false">IF(설정!$C$37="","",설정!$C$37*12)</f>
        <v>960000</v>
      </c>
      <c r="R12" s="29" t="n">
        <f aca="false">IF(Q12="","",Q12-O12)</f>
        <v>921000</v>
      </c>
    </row>
    <row r="13" customFormat="false" ht="15" hidden="false" customHeight="false" outlineLevel="0" collapsed="false">
      <c r="B13" s="57" t="str">
        <f aca="false">IF(설정!$B$38="","",설정!$B$38)</f>
        <v>문화 / 여가</v>
      </c>
      <c r="C13" s="74" t="n">
        <f aca="false">'1월'!N12</f>
        <v>28000</v>
      </c>
      <c r="D13" s="74" t="n">
        <f aca="false">'2월'!N12</f>
        <v>0</v>
      </c>
      <c r="E13" s="74" t="n">
        <f aca="false">'3월'!N12</f>
        <v>0</v>
      </c>
      <c r="F13" s="74" t="n">
        <f aca="false">'4월'!N12</f>
        <v>0</v>
      </c>
      <c r="G13" s="74" t="n">
        <f aca="false">'5월'!N12</f>
        <v>0</v>
      </c>
      <c r="H13" s="74" t="n">
        <f aca="false">'6월'!N12</f>
        <v>0</v>
      </c>
      <c r="I13" s="74" t="n">
        <f aca="false">'7월'!N12</f>
        <v>0</v>
      </c>
      <c r="J13" s="74" t="n">
        <f aca="false">'8월'!N12</f>
        <v>0</v>
      </c>
      <c r="K13" s="74" t="n">
        <f aca="false">'9월'!N12</f>
        <v>0</v>
      </c>
      <c r="L13" s="74" t="n">
        <f aca="false">'10월'!N12</f>
        <v>0</v>
      </c>
      <c r="M13" s="74" t="n">
        <f aca="false">'11월'!N12</f>
        <v>0</v>
      </c>
      <c r="N13" s="74" t="n">
        <f aca="false">'12월'!N12</f>
        <v>0</v>
      </c>
      <c r="O13" s="75" t="n">
        <f aca="false">SUM(C13:N13)</f>
        <v>28000</v>
      </c>
      <c r="P13" s="32" t="n">
        <f aca="false">O13/12</f>
        <v>2333.33333333333</v>
      </c>
      <c r="Q13" s="32" t="n">
        <f aca="false">IF(설정!$C$38="","",설정!$C$38*12)</f>
        <v>960000</v>
      </c>
      <c r="R13" s="32" t="n">
        <f aca="false">IF(Q13="","",Q13-O13)</f>
        <v>932000</v>
      </c>
    </row>
    <row r="14" customFormat="false" ht="15" hidden="false" customHeight="false" outlineLevel="0" collapsed="false">
      <c r="B14" s="50" t="str">
        <f aca="false">IF(설정!$B$39="","",설정!$B$39)</f>
        <v>경조사 / 선물</v>
      </c>
      <c r="C14" s="72" t="n">
        <f aca="false">'1월'!N13</f>
        <v>50000</v>
      </c>
      <c r="D14" s="72" t="n">
        <f aca="false">'2월'!N13</f>
        <v>0</v>
      </c>
      <c r="E14" s="72" t="n">
        <f aca="false">'3월'!N13</f>
        <v>0</v>
      </c>
      <c r="F14" s="72" t="n">
        <f aca="false">'4월'!N13</f>
        <v>0</v>
      </c>
      <c r="G14" s="72" t="n">
        <f aca="false">'5월'!N13</f>
        <v>0</v>
      </c>
      <c r="H14" s="72" t="n">
        <f aca="false">'6월'!N13</f>
        <v>0</v>
      </c>
      <c r="I14" s="72" t="n">
        <f aca="false">'7월'!N13</f>
        <v>0</v>
      </c>
      <c r="J14" s="72" t="n">
        <f aca="false">'8월'!N13</f>
        <v>0</v>
      </c>
      <c r="K14" s="72" t="n">
        <f aca="false">'9월'!N13</f>
        <v>0</v>
      </c>
      <c r="L14" s="72" t="n">
        <f aca="false">'10월'!N13</f>
        <v>0</v>
      </c>
      <c r="M14" s="72" t="n">
        <f aca="false">'11월'!N13</f>
        <v>0</v>
      </c>
      <c r="N14" s="72" t="n">
        <f aca="false">'12월'!N13</f>
        <v>0</v>
      </c>
      <c r="O14" s="73" t="n">
        <f aca="false">SUM(C14:N14)</f>
        <v>50000</v>
      </c>
      <c r="P14" s="29" t="n">
        <f aca="false">O14/12</f>
        <v>4166.66666666667</v>
      </c>
      <c r="Q14" s="29" t="n">
        <f aca="false">IF(설정!$C$39="","",설정!$C$39*12)</f>
        <v>1200000</v>
      </c>
      <c r="R14" s="29" t="n">
        <f aca="false">IF(Q14="","",Q14-O14)</f>
        <v>1150000</v>
      </c>
    </row>
    <row r="15" customFormat="false" ht="15" hidden="false" customHeight="false" outlineLevel="0" collapsed="false">
      <c r="B15" s="57" t="str">
        <f aca="false">IF(설정!$B$40="","",설정!$B$40)</f>
        <v>자녀 / 육아</v>
      </c>
      <c r="C15" s="74" t="n">
        <f aca="false">'1월'!N14</f>
        <v>0</v>
      </c>
      <c r="D15" s="74" t="n">
        <f aca="false">'2월'!N14</f>
        <v>0</v>
      </c>
      <c r="E15" s="74" t="n">
        <f aca="false">'3월'!N14</f>
        <v>0</v>
      </c>
      <c r="F15" s="74" t="n">
        <f aca="false">'4월'!N14</f>
        <v>0</v>
      </c>
      <c r="G15" s="74" t="n">
        <f aca="false">'5월'!N14</f>
        <v>0</v>
      </c>
      <c r="H15" s="74" t="n">
        <f aca="false">'6월'!N14</f>
        <v>0</v>
      </c>
      <c r="I15" s="74" t="n">
        <f aca="false">'7월'!N14</f>
        <v>0</v>
      </c>
      <c r="J15" s="74" t="n">
        <f aca="false">'8월'!N14</f>
        <v>0</v>
      </c>
      <c r="K15" s="74" t="n">
        <f aca="false">'9월'!N14</f>
        <v>0</v>
      </c>
      <c r="L15" s="74" t="n">
        <f aca="false">'10월'!N14</f>
        <v>0</v>
      </c>
      <c r="M15" s="74" t="n">
        <f aca="false">'11월'!N14</f>
        <v>0</v>
      </c>
      <c r="N15" s="74" t="n">
        <f aca="false">'12월'!N14</f>
        <v>0</v>
      </c>
      <c r="O15" s="75" t="n">
        <f aca="false">SUM(C15:N15)</f>
        <v>0</v>
      </c>
      <c r="P15" s="32" t="n">
        <f aca="false">O15/12</f>
        <v>0</v>
      </c>
      <c r="Q15" s="32" t="n">
        <f aca="false">IF(설정!$C$40="","",설정!$C$40*12)</f>
        <v>0</v>
      </c>
      <c r="R15" s="32" t="n">
        <f aca="false">IF(Q15="","",Q15-O15)</f>
        <v>0</v>
      </c>
    </row>
    <row r="16" customFormat="false" ht="15" hidden="false" customHeight="false" outlineLevel="0" collapsed="false">
      <c r="B16" s="50" t="str">
        <f aca="false">IF(설정!$B$41="","",설정!$B$41)</f>
        <v>반려동물</v>
      </c>
      <c r="C16" s="72" t="n">
        <f aca="false">'1월'!N15</f>
        <v>0</v>
      </c>
      <c r="D16" s="72" t="n">
        <f aca="false">'2월'!N15</f>
        <v>0</v>
      </c>
      <c r="E16" s="72" t="n">
        <f aca="false">'3월'!N15</f>
        <v>0</v>
      </c>
      <c r="F16" s="72" t="n">
        <f aca="false">'4월'!N15</f>
        <v>0</v>
      </c>
      <c r="G16" s="72" t="n">
        <f aca="false">'5월'!N15</f>
        <v>0</v>
      </c>
      <c r="H16" s="72" t="n">
        <f aca="false">'6월'!N15</f>
        <v>0</v>
      </c>
      <c r="I16" s="72" t="n">
        <f aca="false">'7월'!N15</f>
        <v>0</v>
      </c>
      <c r="J16" s="72" t="n">
        <f aca="false">'8월'!N15</f>
        <v>0</v>
      </c>
      <c r="K16" s="72" t="n">
        <f aca="false">'9월'!N15</f>
        <v>0</v>
      </c>
      <c r="L16" s="72" t="n">
        <f aca="false">'10월'!N15</f>
        <v>0</v>
      </c>
      <c r="M16" s="72" t="n">
        <f aca="false">'11월'!N15</f>
        <v>0</v>
      </c>
      <c r="N16" s="72" t="n">
        <f aca="false">'12월'!N15</f>
        <v>0</v>
      </c>
      <c r="O16" s="73" t="n">
        <f aca="false">SUM(C16:N16)</f>
        <v>0</v>
      </c>
      <c r="P16" s="29" t="n">
        <f aca="false">O16/12</f>
        <v>0</v>
      </c>
      <c r="Q16" s="29" t="n">
        <f aca="false">IF(설정!$C$41="","",설정!$C$41*12)</f>
        <v>0</v>
      </c>
      <c r="R16" s="29" t="n">
        <f aca="false">IF(Q16="","",Q16-O16)</f>
        <v>0</v>
      </c>
    </row>
    <row r="17" customFormat="false" ht="15" hidden="false" customHeight="false" outlineLevel="0" collapsed="false">
      <c r="B17" s="57" t="str">
        <f aca="false">IF(설정!$B$42="","",설정!$B$42)</f>
        <v>여행</v>
      </c>
      <c r="C17" s="74" t="n">
        <f aca="false">'1월'!N16</f>
        <v>120000</v>
      </c>
      <c r="D17" s="74" t="n">
        <f aca="false">'2월'!N16</f>
        <v>0</v>
      </c>
      <c r="E17" s="74" t="n">
        <f aca="false">'3월'!N16</f>
        <v>0</v>
      </c>
      <c r="F17" s="74" t="n">
        <f aca="false">'4월'!N16</f>
        <v>0</v>
      </c>
      <c r="G17" s="74" t="n">
        <f aca="false">'5월'!N16</f>
        <v>0</v>
      </c>
      <c r="H17" s="74" t="n">
        <f aca="false">'6월'!N16</f>
        <v>0</v>
      </c>
      <c r="I17" s="74" t="n">
        <f aca="false">'7월'!N16</f>
        <v>0</v>
      </c>
      <c r="J17" s="74" t="n">
        <f aca="false">'8월'!N16</f>
        <v>0</v>
      </c>
      <c r="K17" s="74" t="n">
        <f aca="false">'9월'!N16</f>
        <v>0</v>
      </c>
      <c r="L17" s="74" t="n">
        <f aca="false">'10월'!N16</f>
        <v>0</v>
      </c>
      <c r="M17" s="74" t="n">
        <f aca="false">'11월'!N16</f>
        <v>0</v>
      </c>
      <c r="N17" s="74" t="n">
        <f aca="false">'12월'!N16</f>
        <v>0</v>
      </c>
      <c r="O17" s="75" t="n">
        <f aca="false">SUM(C17:N17)</f>
        <v>120000</v>
      </c>
      <c r="P17" s="32" t="n">
        <f aca="false">O17/12</f>
        <v>10000</v>
      </c>
      <c r="Q17" s="32" t="n">
        <f aca="false">IF(설정!$C$42="","",설정!$C$42*12)</f>
        <v>1200000</v>
      </c>
      <c r="R17" s="32" t="n">
        <f aca="false">IF(Q17="","",Q17-O17)</f>
        <v>1080000</v>
      </c>
    </row>
    <row r="18" customFormat="false" ht="15" hidden="false" customHeight="false" outlineLevel="0" collapsed="false">
      <c r="B18" s="50" t="str">
        <f aca="false">IF(설정!$B$43="","",설정!$B$43)</f>
        <v>통신 / 디지털</v>
      </c>
      <c r="C18" s="72" t="n">
        <f aca="false">'1월'!N17</f>
        <v>13000</v>
      </c>
      <c r="D18" s="72" t="n">
        <f aca="false">'2월'!N17</f>
        <v>0</v>
      </c>
      <c r="E18" s="72" t="n">
        <f aca="false">'3월'!N17</f>
        <v>0</v>
      </c>
      <c r="F18" s="72" t="n">
        <f aca="false">'4월'!N17</f>
        <v>0</v>
      </c>
      <c r="G18" s="72" t="n">
        <f aca="false">'5월'!N17</f>
        <v>0</v>
      </c>
      <c r="H18" s="72" t="n">
        <f aca="false">'6월'!N17</f>
        <v>0</v>
      </c>
      <c r="I18" s="72" t="n">
        <f aca="false">'7월'!N17</f>
        <v>0</v>
      </c>
      <c r="J18" s="72" t="n">
        <f aca="false">'8월'!N17</f>
        <v>0</v>
      </c>
      <c r="K18" s="72" t="n">
        <f aca="false">'9월'!N17</f>
        <v>0</v>
      </c>
      <c r="L18" s="72" t="n">
        <f aca="false">'10월'!N17</f>
        <v>0</v>
      </c>
      <c r="M18" s="72" t="n">
        <f aca="false">'11월'!N17</f>
        <v>0</v>
      </c>
      <c r="N18" s="72" t="n">
        <f aca="false">'12월'!N17</f>
        <v>0</v>
      </c>
      <c r="O18" s="73" t="n">
        <f aca="false">SUM(C18:N18)</f>
        <v>13000</v>
      </c>
      <c r="P18" s="29" t="n">
        <f aca="false">O18/12</f>
        <v>1083.33333333333</v>
      </c>
      <c r="Q18" s="29" t="n">
        <f aca="false">IF(설정!$C$43="","",설정!$C$43*12)</f>
        <v>360000</v>
      </c>
      <c r="R18" s="29" t="n">
        <f aca="false">IF(Q18="","",Q18-O18)</f>
        <v>347000</v>
      </c>
    </row>
    <row r="19" customFormat="false" ht="15" hidden="false" customHeight="false" outlineLevel="0" collapsed="false">
      <c r="B19" s="57" t="str">
        <f aca="false">IF(설정!$B$44="","",설정!$B$44)</f>
        <v>기부 / 후원</v>
      </c>
      <c r="C19" s="74" t="n">
        <f aca="false">'1월'!N18</f>
        <v>30000</v>
      </c>
      <c r="D19" s="74" t="n">
        <f aca="false">'2월'!N18</f>
        <v>0</v>
      </c>
      <c r="E19" s="74" t="n">
        <f aca="false">'3월'!N18</f>
        <v>0</v>
      </c>
      <c r="F19" s="74" t="n">
        <f aca="false">'4월'!N18</f>
        <v>0</v>
      </c>
      <c r="G19" s="74" t="n">
        <f aca="false">'5월'!N18</f>
        <v>0</v>
      </c>
      <c r="H19" s="74" t="n">
        <f aca="false">'6월'!N18</f>
        <v>0</v>
      </c>
      <c r="I19" s="74" t="n">
        <f aca="false">'7월'!N18</f>
        <v>0</v>
      </c>
      <c r="J19" s="74" t="n">
        <f aca="false">'8월'!N18</f>
        <v>0</v>
      </c>
      <c r="K19" s="74" t="n">
        <f aca="false">'9월'!N18</f>
        <v>0</v>
      </c>
      <c r="L19" s="74" t="n">
        <f aca="false">'10월'!N18</f>
        <v>0</v>
      </c>
      <c r="M19" s="74" t="n">
        <f aca="false">'11월'!N18</f>
        <v>0</v>
      </c>
      <c r="N19" s="74" t="n">
        <f aca="false">'12월'!N18</f>
        <v>0</v>
      </c>
      <c r="O19" s="75" t="n">
        <f aca="false">SUM(C19:N19)</f>
        <v>30000</v>
      </c>
      <c r="P19" s="32" t="n">
        <f aca="false">O19/12</f>
        <v>2500</v>
      </c>
      <c r="Q19" s="32" t="n">
        <f aca="false">IF(설정!$C$44="","",설정!$C$44*12)</f>
        <v>360000</v>
      </c>
      <c r="R19" s="32" t="n">
        <f aca="false">IF(Q19="","",Q19-O19)</f>
        <v>330000</v>
      </c>
    </row>
    <row r="20" customFormat="false" ht="15" hidden="false" customHeight="false" outlineLevel="0" collapsed="false">
      <c r="B20" s="50" t="str">
        <f aca="false">IF(설정!$B$45="","",설정!$B$45)</f>
        <v>기타</v>
      </c>
      <c r="C20" s="72" t="n">
        <f aca="false">'1월'!N19</f>
        <v>0</v>
      </c>
      <c r="D20" s="72" t="n">
        <f aca="false">'2월'!N19</f>
        <v>0</v>
      </c>
      <c r="E20" s="72" t="n">
        <f aca="false">'3월'!N19</f>
        <v>0</v>
      </c>
      <c r="F20" s="72" t="n">
        <f aca="false">'4월'!N19</f>
        <v>0</v>
      </c>
      <c r="G20" s="72" t="n">
        <f aca="false">'5월'!N19</f>
        <v>0</v>
      </c>
      <c r="H20" s="72" t="n">
        <f aca="false">'6월'!N19</f>
        <v>0</v>
      </c>
      <c r="I20" s="72" t="n">
        <f aca="false">'7월'!N19</f>
        <v>0</v>
      </c>
      <c r="J20" s="72" t="n">
        <f aca="false">'8월'!N19</f>
        <v>0</v>
      </c>
      <c r="K20" s="72" t="n">
        <f aca="false">'9월'!N19</f>
        <v>0</v>
      </c>
      <c r="L20" s="72" t="n">
        <f aca="false">'10월'!N19</f>
        <v>0</v>
      </c>
      <c r="M20" s="72" t="n">
        <f aca="false">'11월'!N19</f>
        <v>0</v>
      </c>
      <c r="N20" s="72" t="n">
        <f aca="false">'12월'!N19</f>
        <v>0</v>
      </c>
      <c r="O20" s="73" t="n">
        <f aca="false">SUM(C20:N20)</f>
        <v>0</v>
      </c>
      <c r="P20" s="29" t="n">
        <f aca="false">O20/12</f>
        <v>0</v>
      </c>
      <c r="Q20" s="29" t="n">
        <f aca="false">IF(설정!$C$45="","",설정!$C$45*12)</f>
        <v>960000</v>
      </c>
      <c r="R20" s="29" t="n">
        <f aca="false">IF(Q20="","",Q20-O20)</f>
        <v>960000</v>
      </c>
    </row>
    <row r="21" customFormat="false" ht="15" hidden="false" customHeight="false" outlineLevel="0" collapsed="false">
      <c r="B21" s="65" t="s">
        <v>185</v>
      </c>
      <c r="C21" s="76" t="n">
        <f aca="false">SUM(C6:C20)</f>
        <v>709000</v>
      </c>
      <c r="D21" s="76" t="n">
        <f aca="false">SUM(D6:D20)</f>
        <v>0</v>
      </c>
      <c r="E21" s="76" t="n">
        <f aca="false">SUM(E6:E20)</f>
        <v>0</v>
      </c>
      <c r="F21" s="76" t="n">
        <f aca="false">SUM(F6:F20)</f>
        <v>0</v>
      </c>
      <c r="G21" s="76" t="n">
        <f aca="false">SUM(G6:G20)</f>
        <v>0</v>
      </c>
      <c r="H21" s="76" t="n">
        <f aca="false">SUM(H6:H20)</f>
        <v>0</v>
      </c>
      <c r="I21" s="76" t="n">
        <f aca="false">SUM(I6:I20)</f>
        <v>0</v>
      </c>
      <c r="J21" s="76" t="n">
        <f aca="false">SUM(J6:J20)</f>
        <v>0</v>
      </c>
      <c r="K21" s="76" t="n">
        <f aca="false">SUM(K6:K20)</f>
        <v>0</v>
      </c>
      <c r="L21" s="76" t="n">
        <f aca="false">SUM(L6:L20)</f>
        <v>0</v>
      </c>
      <c r="M21" s="76" t="n">
        <f aca="false">SUM(M6:M20)</f>
        <v>0</v>
      </c>
      <c r="N21" s="76" t="n">
        <f aca="false">SUM(N6:N20)</f>
        <v>0</v>
      </c>
      <c r="O21" s="77" t="n">
        <f aca="false">SUM(O6:O20)</f>
        <v>709000</v>
      </c>
      <c r="P21" s="77"/>
      <c r="Q21" s="77"/>
      <c r="R21" s="7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2:T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16" min="5" style="0" width="9.6"/>
    <col collapsed="false" customWidth="true" hidden="false" outlineLevel="0" max="18" min="17" style="0" width="13"/>
    <col collapsed="false" customWidth="true" hidden="false" outlineLevel="0" max="19" min="19" style="0" width="9"/>
    <col collapsed="false" customWidth="true" hidden="false" outlineLevel="0" max="20" min="20" style="0" width="13"/>
  </cols>
  <sheetData>
    <row r="2" customFormat="false" ht="30.55" hidden="false" customHeight="false" outlineLevel="0" collapsed="false">
      <c r="B2" s="23" t="s">
        <v>186</v>
      </c>
    </row>
    <row r="3" customFormat="false" ht="16.4" hidden="false" customHeight="false" outlineLevel="0" collapsed="false">
      <c r="B3" s="24" t="s">
        <v>187</v>
      </c>
    </row>
    <row r="5" customFormat="false" ht="15" hidden="false" customHeight="false" outlineLevel="0" collapsed="false">
      <c r="B5" s="46" t="s">
        <v>188</v>
      </c>
      <c r="C5" s="46" t="s">
        <v>189</v>
      </c>
      <c r="D5" s="46" t="s">
        <v>190</v>
      </c>
      <c r="E5" s="71" t="s">
        <v>171</v>
      </c>
      <c r="F5" s="71" t="s">
        <v>172</v>
      </c>
      <c r="G5" s="71" t="s">
        <v>173</v>
      </c>
      <c r="H5" s="71" t="s">
        <v>174</v>
      </c>
      <c r="I5" s="71" t="s">
        <v>175</v>
      </c>
      <c r="J5" s="71" t="s">
        <v>176</v>
      </c>
      <c r="K5" s="71" t="s">
        <v>177</v>
      </c>
      <c r="L5" s="71" t="s">
        <v>178</v>
      </c>
      <c r="M5" s="71" t="s">
        <v>179</v>
      </c>
      <c r="N5" s="71" t="s">
        <v>180</v>
      </c>
      <c r="O5" s="71" t="s">
        <v>181</v>
      </c>
      <c r="P5" s="71" t="s">
        <v>182</v>
      </c>
      <c r="Q5" s="46" t="s">
        <v>191</v>
      </c>
      <c r="R5" s="46" t="s">
        <v>192</v>
      </c>
      <c r="S5" s="46" t="s">
        <v>193</v>
      </c>
      <c r="T5" s="46" t="s">
        <v>194</v>
      </c>
    </row>
    <row r="6" customFormat="false" ht="15" hidden="false" customHeight="false" outlineLevel="0" collapsed="false">
      <c r="B6" s="48" t="s">
        <v>195</v>
      </c>
      <c r="C6" s="49" t="n">
        <v>9000000</v>
      </c>
      <c r="D6" s="78" t="s">
        <v>196</v>
      </c>
      <c r="E6" s="79" t="n">
        <v>300000</v>
      </c>
      <c r="F6" s="79" t="n">
        <v>300000</v>
      </c>
      <c r="G6" s="79" t="n">
        <v>300000</v>
      </c>
      <c r="H6" s="79" t="n">
        <v>300000</v>
      </c>
      <c r="I6" s="79" t="n">
        <v>300000</v>
      </c>
      <c r="J6" s="79" t="n">
        <v>300000</v>
      </c>
      <c r="K6" s="79"/>
      <c r="L6" s="79"/>
      <c r="M6" s="79"/>
      <c r="N6" s="79"/>
      <c r="O6" s="79"/>
      <c r="P6" s="79"/>
      <c r="Q6" s="73" t="n">
        <f aca="false">SUM(E6:P6)</f>
        <v>1800000</v>
      </c>
      <c r="R6" s="29" t="n">
        <f aca="false">IF(C6="","",C6-Q6)</f>
        <v>7200000</v>
      </c>
      <c r="S6" s="80" t="n">
        <f aca="false">IFERROR(Q6/C6,0)</f>
        <v>0.2</v>
      </c>
      <c r="T6" s="53" t="str">
        <f aca="false">IF(C6="","",REPT("■",MIN(10,ROUND(S6*10,0)))&amp;REPT("□",10-MIN(10,ROUND(S6*10,0))))</f>
        <v>■■□□□□□□□□</v>
      </c>
    </row>
    <row r="7" customFormat="false" ht="15" hidden="false" customHeight="false" outlineLevel="0" collapsed="false">
      <c r="B7" s="55" t="s">
        <v>197</v>
      </c>
      <c r="C7" s="56" t="n">
        <v>50000000</v>
      </c>
      <c r="D7" s="81" t="s">
        <v>198</v>
      </c>
      <c r="E7" s="82" t="n">
        <v>500000</v>
      </c>
      <c r="F7" s="82" t="n">
        <v>500000</v>
      </c>
      <c r="G7" s="82" t="n">
        <v>500000</v>
      </c>
      <c r="H7" s="82" t="n">
        <v>500000</v>
      </c>
      <c r="I7" s="82" t="n">
        <v>500000</v>
      </c>
      <c r="J7" s="82" t="n">
        <v>500000</v>
      </c>
      <c r="K7" s="82"/>
      <c r="L7" s="82"/>
      <c r="M7" s="82"/>
      <c r="N7" s="82"/>
      <c r="O7" s="82"/>
      <c r="P7" s="82"/>
      <c r="Q7" s="75" t="n">
        <f aca="false">SUM(E7:P7)</f>
        <v>3000000</v>
      </c>
      <c r="R7" s="32" t="n">
        <f aca="false">IF(C7="","",C7-Q7)</f>
        <v>47000000</v>
      </c>
      <c r="S7" s="83" t="n">
        <f aca="false">IFERROR(Q7/C7,0)</f>
        <v>0.06</v>
      </c>
      <c r="T7" s="60" t="str">
        <f aca="false">IF(C7="","",REPT("■",MIN(10,ROUND(S7*10,0)))&amp;REPT("□",10-MIN(10,ROUND(S7*10,0))))</f>
        <v>■□□□□□□□□□</v>
      </c>
    </row>
    <row r="8" customFormat="false" ht="15" hidden="false" customHeight="false" outlineLevel="0" collapsed="false">
      <c r="B8" s="48" t="s">
        <v>72</v>
      </c>
      <c r="C8" s="49" t="n">
        <v>3000000</v>
      </c>
      <c r="D8" s="78" t="s">
        <v>199</v>
      </c>
      <c r="E8" s="79" t="n">
        <v>200000</v>
      </c>
      <c r="F8" s="79" t="n">
        <v>200000</v>
      </c>
      <c r="G8" s="79" t="n">
        <v>200000</v>
      </c>
      <c r="H8" s="79" t="n">
        <v>200000</v>
      </c>
      <c r="I8" s="79" t="n">
        <v>200000</v>
      </c>
      <c r="J8" s="79" t="n">
        <v>200000</v>
      </c>
      <c r="K8" s="79"/>
      <c r="L8" s="79"/>
      <c r="M8" s="79"/>
      <c r="N8" s="79"/>
      <c r="O8" s="79"/>
      <c r="P8" s="79"/>
      <c r="Q8" s="73" t="n">
        <f aca="false">SUM(E8:P8)</f>
        <v>1200000</v>
      </c>
      <c r="R8" s="29" t="n">
        <f aca="false">IF(C8="","",C8-Q8)</f>
        <v>1800000</v>
      </c>
      <c r="S8" s="80" t="n">
        <f aca="false">IFERROR(Q8/C8,0)</f>
        <v>0.4</v>
      </c>
      <c r="T8" s="53" t="str">
        <f aca="false">IF(C8="","",REPT("■",MIN(10,ROUND(S8*10,0)))&amp;REPT("□",10-MIN(10,ROUND(S8*10,0))))</f>
        <v>■■■■□□□□□□</v>
      </c>
    </row>
    <row r="9" customFormat="false" ht="15" hidden="false" customHeight="false" outlineLevel="0" collapsed="false">
      <c r="B9" s="55" t="s">
        <v>200</v>
      </c>
      <c r="C9" s="56" t="n">
        <v>15000000</v>
      </c>
      <c r="D9" s="81" t="s">
        <v>201</v>
      </c>
      <c r="E9" s="82" t="n">
        <v>250000</v>
      </c>
      <c r="F9" s="82" t="n">
        <v>250000</v>
      </c>
      <c r="G9" s="82" t="n">
        <v>250000</v>
      </c>
      <c r="H9" s="82" t="n">
        <v>250000</v>
      </c>
      <c r="I9" s="82" t="n">
        <v>250000</v>
      </c>
      <c r="J9" s="82" t="n">
        <v>250000</v>
      </c>
      <c r="K9" s="82"/>
      <c r="L9" s="82"/>
      <c r="M9" s="82"/>
      <c r="N9" s="82"/>
      <c r="O9" s="82"/>
      <c r="P9" s="82"/>
      <c r="Q9" s="75" t="n">
        <f aca="false">SUM(E9:P9)</f>
        <v>1500000</v>
      </c>
      <c r="R9" s="32" t="n">
        <f aca="false">IF(C9="","",C9-Q9)</f>
        <v>13500000</v>
      </c>
      <c r="S9" s="83" t="n">
        <f aca="false">IFERROR(Q9/C9,0)</f>
        <v>0.1</v>
      </c>
      <c r="T9" s="60" t="str">
        <f aca="false">IF(C9="","",REPT("■",MIN(10,ROUND(S9*10,0)))&amp;REPT("□",10-MIN(10,ROUND(S9*10,0))))</f>
        <v>■□□□□□□□□□</v>
      </c>
    </row>
    <row r="10" customFormat="false" ht="15" hidden="false" customHeight="false" outlineLevel="0" collapsed="false">
      <c r="B10" s="48" t="s">
        <v>202</v>
      </c>
      <c r="C10" s="49" t="n">
        <v>5000000</v>
      </c>
      <c r="D10" s="78" t="s">
        <v>203</v>
      </c>
      <c r="E10" s="79" t="n">
        <v>150000</v>
      </c>
      <c r="F10" s="79" t="n">
        <v>150000</v>
      </c>
      <c r="G10" s="79" t="n">
        <v>150000</v>
      </c>
      <c r="H10" s="79" t="n">
        <v>150000</v>
      </c>
      <c r="I10" s="79" t="n">
        <v>150000</v>
      </c>
      <c r="J10" s="79" t="n">
        <v>150000</v>
      </c>
      <c r="K10" s="79"/>
      <c r="L10" s="79"/>
      <c r="M10" s="79"/>
      <c r="N10" s="79"/>
      <c r="O10" s="79"/>
      <c r="P10" s="79"/>
      <c r="Q10" s="73" t="n">
        <f aca="false">SUM(E10:P10)</f>
        <v>900000</v>
      </c>
      <c r="R10" s="29" t="n">
        <f aca="false">IF(C10="","",C10-Q10)</f>
        <v>4100000</v>
      </c>
      <c r="S10" s="80" t="n">
        <f aca="false">IFERROR(Q10/C10,0)</f>
        <v>0.18</v>
      </c>
      <c r="T10" s="53" t="str">
        <f aca="false">IF(C10="","",REPT("■",MIN(10,ROUND(S10*10,0)))&amp;REPT("□",10-MIN(10,ROUND(S10*10,0))))</f>
        <v>■■□□□□□□□□</v>
      </c>
    </row>
    <row r="11" customFormat="false" ht="15" hidden="false" customHeight="false" outlineLevel="0" collapsed="false">
      <c r="B11" s="55" t="s">
        <v>204</v>
      </c>
      <c r="C11" s="56" t="n">
        <v>1500000</v>
      </c>
      <c r="D11" s="81" t="s">
        <v>196</v>
      </c>
      <c r="E11" s="82" t="n">
        <v>80000</v>
      </c>
      <c r="F11" s="82" t="n">
        <v>80000</v>
      </c>
      <c r="G11" s="82" t="n">
        <v>80000</v>
      </c>
      <c r="H11" s="82" t="n">
        <v>80000</v>
      </c>
      <c r="I11" s="82" t="n">
        <v>80000</v>
      </c>
      <c r="J11" s="82" t="n">
        <v>80000</v>
      </c>
      <c r="K11" s="82"/>
      <c r="L11" s="82"/>
      <c r="M11" s="82"/>
      <c r="N11" s="82"/>
      <c r="O11" s="82"/>
      <c r="P11" s="82"/>
      <c r="Q11" s="75" t="n">
        <f aca="false">SUM(E11:P11)</f>
        <v>480000</v>
      </c>
      <c r="R11" s="32" t="n">
        <f aca="false">IF(C11="","",C11-Q11)</f>
        <v>1020000</v>
      </c>
      <c r="S11" s="83" t="n">
        <f aca="false">IFERROR(Q11/C11,0)</f>
        <v>0.32</v>
      </c>
      <c r="T11" s="60" t="str">
        <f aca="false">IF(C11="","",REPT("■",MIN(10,ROUND(S11*10,0)))&amp;REPT("□",10-MIN(10,ROUND(S11*10,0))))</f>
        <v>■■■□□□□□□□</v>
      </c>
    </row>
    <row r="12" customFormat="false" ht="15" hidden="false" customHeight="false" outlineLevel="0" collapsed="false">
      <c r="B12" s="48" t="s">
        <v>205</v>
      </c>
      <c r="C12" s="49" t="n">
        <v>20000000</v>
      </c>
      <c r="D12" s="78" t="s">
        <v>206</v>
      </c>
      <c r="E12" s="79" t="n">
        <v>200000</v>
      </c>
      <c r="F12" s="79" t="n">
        <v>200000</v>
      </c>
      <c r="G12" s="79" t="n">
        <v>200000</v>
      </c>
      <c r="H12" s="79" t="n">
        <v>200000</v>
      </c>
      <c r="I12" s="79" t="n">
        <v>200000</v>
      </c>
      <c r="J12" s="79" t="n">
        <v>200000</v>
      </c>
      <c r="K12" s="79"/>
      <c r="L12" s="79"/>
      <c r="M12" s="79"/>
      <c r="N12" s="79"/>
      <c r="O12" s="79"/>
      <c r="P12" s="79"/>
      <c r="Q12" s="73" t="n">
        <f aca="false">SUM(E12:P12)</f>
        <v>1200000</v>
      </c>
      <c r="R12" s="29" t="n">
        <f aca="false">IF(C12="","",C12-Q12)</f>
        <v>18800000</v>
      </c>
      <c r="S12" s="80" t="n">
        <f aca="false">IFERROR(Q12/C12,0)</f>
        <v>0.06</v>
      </c>
      <c r="T12" s="53" t="str">
        <f aca="false">IF(C12="","",REPT("■",MIN(10,ROUND(S12*10,0)))&amp;REPT("□",10-MIN(10,ROUND(S12*10,0))))</f>
        <v>■□□□□□□□□□</v>
      </c>
    </row>
    <row r="13" customFormat="false" ht="15" hidden="false" customHeight="false" outlineLevel="0" collapsed="false">
      <c r="B13" s="55"/>
      <c r="C13" s="56"/>
      <c r="D13" s="81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75" t="n">
        <f aca="false">SUM(E13:P13)</f>
        <v>0</v>
      </c>
      <c r="R13" s="32" t="str">
        <f aca="false">IF(C13="","",C13-Q13)</f>
        <v/>
      </c>
      <c r="S13" s="83" t="n">
        <f aca="false">IFERROR(Q13/C13,0)</f>
        <v>0</v>
      </c>
      <c r="T13" s="60" t="str">
        <f aca="false">IF(C13="","",REPT("■",MIN(10,ROUND(S13*10,0)))&amp;REPT("□",10-MIN(10,ROUND(S13*10,0))))</f>
        <v/>
      </c>
    </row>
    <row r="14" customFormat="false" ht="15" hidden="false" customHeight="false" outlineLevel="0" collapsed="false">
      <c r="B14" s="65" t="s">
        <v>100</v>
      </c>
      <c r="C14" s="35" t="n">
        <f aca="false">SUM(C6:C13)</f>
        <v>103500000</v>
      </c>
      <c r="D14" s="66"/>
      <c r="E14" s="84" t="n">
        <f aca="false">SUM(E6:E13)</f>
        <v>1680000</v>
      </c>
      <c r="F14" s="84" t="n">
        <f aca="false">SUM(F6:F13)</f>
        <v>1680000</v>
      </c>
      <c r="G14" s="84" t="n">
        <f aca="false">SUM(G6:G13)</f>
        <v>1680000</v>
      </c>
      <c r="H14" s="84" t="n">
        <f aca="false">SUM(H6:H13)</f>
        <v>1680000</v>
      </c>
      <c r="I14" s="84" t="n">
        <f aca="false">SUM(I6:I13)</f>
        <v>1680000</v>
      </c>
      <c r="J14" s="84" t="n">
        <f aca="false">SUM(J6:J13)</f>
        <v>1680000</v>
      </c>
      <c r="K14" s="84" t="n">
        <f aca="false">SUM(K6:K13)</f>
        <v>0</v>
      </c>
      <c r="L14" s="84" t="n">
        <f aca="false">SUM(L6:L13)</f>
        <v>0</v>
      </c>
      <c r="M14" s="84" t="n">
        <f aca="false">SUM(M6:M13)</f>
        <v>0</v>
      </c>
      <c r="N14" s="84" t="n">
        <f aca="false">SUM(N6:N13)</f>
        <v>0</v>
      </c>
      <c r="O14" s="84" t="n">
        <f aca="false">SUM(O6:O13)</f>
        <v>0</v>
      </c>
      <c r="P14" s="84" t="n">
        <f aca="false">SUM(P6:P13)</f>
        <v>0</v>
      </c>
      <c r="Q14" s="35" t="n">
        <f aca="false">SUM(Q6:Q13)</f>
        <v>10080000</v>
      </c>
      <c r="R14" s="66"/>
      <c r="S14" s="85" t="n">
        <f aca="false">IFERROR(Q14/C14,0)</f>
        <v>0.0973913043478261</v>
      </c>
      <c r="T14" s="6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52"/>
    <pageSetUpPr fitToPage="false"/>
  </sheetPr>
  <dimension ref="B2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4" min="3" style="0" width="14"/>
  </cols>
  <sheetData>
    <row r="2" customFormat="false" ht="24.45" hidden="false" customHeight="false" outlineLevel="0" collapsed="false">
      <c r="B2" s="23" t="s">
        <v>207</v>
      </c>
    </row>
    <row r="3" customFormat="false" ht="16.15" hidden="false" customHeight="false" outlineLevel="0" collapsed="false">
      <c r="B3" s="86" t="s">
        <v>81</v>
      </c>
      <c r="C3" s="87" t="n">
        <f aca="false">IFERROR(LOOKUP(9.99E+307,C28:N28),0)</f>
        <v>99700000</v>
      </c>
      <c r="D3" s="87"/>
      <c r="E3" s="88" t="s">
        <v>208</v>
      </c>
      <c r="F3" s="88"/>
      <c r="G3" s="88"/>
      <c r="H3" s="88"/>
      <c r="I3" s="88"/>
      <c r="J3" s="88"/>
      <c r="K3" s="88"/>
      <c r="L3" s="88"/>
      <c r="M3" s="88"/>
      <c r="N3" s="88"/>
    </row>
    <row r="5" customFormat="false" ht="15" hidden="false" customHeight="false" outlineLevel="0" collapsed="false">
      <c r="B5" s="46" t="s">
        <v>23</v>
      </c>
      <c r="C5" s="71" t="s">
        <v>171</v>
      </c>
      <c r="D5" s="71" t="s">
        <v>172</v>
      </c>
      <c r="E5" s="71" t="s">
        <v>173</v>
      </c>
      <c r="F5" s="71" t="s">
        <v>174</v>
      </c>
      <c r="G5" s="71" t="s">
        <v>175</v>
      </c>
      <c r="H5" s="71" t="s">
        <v>176</v>
      </c>
      <c r="I5" s="71" t="s">
        <v>177</v>
      </c>
      <c r="J5" s="71" t="s">
        <v>178</v>
      </c>
      <c r="K5" s="71" t="s">
        <v>179</v>
      </c>
      <c r="L5" s="71" t="s">
        <v>180</v>
      </c>
      <c r="M5" s="71" t="s">
        <v>181</v>
      </c>
      <c r="N5" s="71" t="s">
        <v>182</v>
      </c>
    </row>
    <row r="6" customFormat="false" ht="21" hidden="false" customHeight="true" outlineLevel="0" collapsed="false">
      <c r="B6" s="89" t="s">
        <v>209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customFormat="false" ht="15" hidden="false" customHeight="false" outlineLevel="0" collapsed="false">
      <c r="B7" s="50" t="s">
        <v>210</v>
      </c>
      <c r="C7" s="49" t="n">
        <v>5000000</v>
      </c>
      <c r="D7" s="49" t="n">
        <v>5100000</v>
      </c>
      <c r="E7" s="49" t="n">
        <v>5200000</v>
      </c>
      <c r="F7" s="49" t="n">
        <v>5300000</v>
      </c>
      <c r="G7" s="49" t="n">
        <v>5400000</v>
      </c>
      <c r="H7" s="49" t="n">
        <v>5500000</v>
      </c>
      <c r="I7" s="49"/>
      <c r="J7" s="49"/>
      <c r="K7" s="49"/>
      <c r="L7" s="49"/>
      <c r="M7" s="49"/>
      <c r="N7" s="49"/>
    </row>
    <row r="8" customFormat="false" ht="15" hidden="false" customHeight="false" outlineLevel="0" collapsed="false">
      <c r="B8" s="57" t="s">
        <v>211</v>
      </c>
      <c r="C8" s="56" t="n">
        <v>2000000</v>
      </c>
      <c r="D8" s="56" t="n">
        <v>2040000</v>
      </c>
      <c r="E8" s="56" t="n">
        <v>2080000</v>
      </c>
      <c r="F8" s="56" t="n">
        <v>2120000</v>
      </c>
      <c r="G8" s="56" t="n">
        <v>2160000</v>
      </c>
      <c r="H8" s="56" t="n">
        <v>2200000</v>
      </c>
      <c r="I8" s="56"/>
      <c r="J8" s="56"/>
      <c r="K8" s="56"/>
      <c r="L8" s="56"/>
      <c r="M8" s="56"/>
      <c r="N8" s="56"/>
    </row>
    <row r="9" customFormat="false" ht="15" hidden="false" customHeight="false" outlineLevel="0" collapsed="false">
      <c r="B9" s="50" t="s">
        <v>212</v>
      </c>
      <c r="C9" s="49" t="n">
        <v>6000000</v>
      </c>
      <c r="D9" s="49" t="n">
        <v>6120000</v>
      </c>
      <c r="E9" s="49" t="n">
        <v>6240000</v>
      </c>
      <c r="F9" s="49" t="n">
        <v>6360000</v>
      </c>
      <c r="G9" s="49" t="n">
        <v>6480000</v>
      </c>
      <c r="H9" s="49" t="n">
        <v>6600000</v>
      </c>
      <c r="I9" s="49"/>
      <c r="J9" s="49"/>
      <c r="K9" s="49"/>
      <c r="L9" s="49"/>
      <c r="M9" s="49"/>
      <c r="N9" s="49"/>
    </row>
    <row r="10" customFormat="false" ht="15" hidden="false" customHeight="false" outlineLevel="0" collapsed="false">
      <c r="B10" s="57" t="s">
        <v>213</v>
      </c>
      <c r="C10" s="56" t="n">
        <v>5500000</v>
      </c>
      <c r="D10" s="56" t="n">
        <v>5610000</v>
      </c>
      <c r="E10" s="56" t="n">
        <v>5720000</v>
      </c>
      <c r="F10" s="56" t="n">
        <v>5830000</v>
      </c>
      <c r="G10" s="56" t="n">
        <v>5940000</v>
      </c>
      <c r="H10" s="56" t="n">
        <v>6050000</v>
      </c>
      <c r="I10" s="56"/>
      <c r="J10" s="56"/>
      <c r="K10" s="56"/>
      <c r="L10" s="56"/>
      <c r="M10" s="56"/>
      <c r="N10" s="56"/>
    </row>
    <row r="11" customFormat="false" ht="15" hidden="false" customHeight="false" outlineLevel="0" collapsed="false">
      <c r="B11" s="50" t="s">
        <v>214</v>
      </c>
      <c r="C11" s="49" t="n">
        <v>3000000</v>
      </c>
      <c r="D11" s="49" t="n">
        <v>3060000</v>
      </c>
      <c r="E11" s="49" t="n">
        <v>3120000</v>
      </c>
      <c r="F11" s="49" t="n">
        <v>3180000</v>
      </c>
      <c r="G11" s="49" t="n">
        <v>3240000</v>
      </c>
      <c r="H11" s="49" t="n">
        <v>3300000</v>
      </c>
      <c r="I11" s="49"/>
      <c r="J11" s="49"/>
      <c r="K11" s="49"/>
      <c r="L11" s="49"/>
      <c r="M11" s="49"/>
      <c r="N11" s="49"/>
    </row>
    <row r="12" customFormat="false" ht="15" hidden="false" customHeight="false" outlineLevel="0" collapsed="false">
      <c r="B12" s="57" t="s">
        <v>215</v>
      </c>
      <c r="C12" s="56" t="n">
        <v>8000000</v>
      </c>
      <c r="D12" s="56" t="n">
        <v>8160000</v>
      </c>
      <c r="E12" s="56" t="n">
        <v>8320000</v>
      </c>
      <c r="F12" s="56" t="n">
        <v>8480000</v>
      </c>
      <c r="G12" s="56" t="n">
        <v>8640000</v>
      </c>
      <c r="H12" s="56" t="n">
        <v>8800000</v>
      </c>
      <c r="I12" s="56"/>
      <c r="J12" s="56"/>
      <c r="K12" s="56"/>
      <c r="L12" s="56"/>
      <c r="M12" s="56"/>
      <c r="N12" s="56"/>
    </row>
    <row r="13" customFormat="false" ht="15" hidden="false" customHeight="false" outlineLevel="0" collapsed="false">
      <c r="B13" s="50" t="s">
        <v>216</v>
      </c>
      <c r="C13" s="49" t="n">
        <v>130000000</v>
      </c>
      <c r="D13" s="49" t="n">
        <v>132600000</v>
      </c>
      <c r="E13" s="49" t="n">
        <v>135200000</v>
      </c>
      <c r="F13" s="49" t="n">
        <v>137800000</v>
      </c>
      <c r="G13" s="49" t="n">
        <v>140400000</v>
      </c>
      <c r="H13" s="49" t="n">
        <v>143000000</v>
      </c>
      <c r="I13" s="49"/>
      <c r="J13" s="49"/>
      <c r="K13" s="49"/>
      <c r="L13" s="49"/>
      <c r="M13" s="49"/>
      <c r="N13" s="49"/>
    </row>
    <row r="14" customFormat="false" ht="15" hidden="false" customHeight="false" outlineLevel="0" collapsed="false">
      <c r="B14" s="57" t="s">
        <v>217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</row>
    <row r="15" customFormat="false" ht="15" hidden="false" customHeight="false" outlineLevel="0" collapsed="false">
      <c r="B15" s="50" t="s">
        <v>218</v>
      </c>
      <c r="C15" s="49" t="n">
        <v>18000000</v>
      </c>
      <c r="D15" s="49" t="n">
        <v>17900000</v>
      </c>
      <c r="E15" s="49" t="n">
        <v>17800000</v>
      </c>
      <c r="F15" s="49" t="n">
        <v>17700000</v>
      </c>
      <c r="G15" s="49" t="n">
        <v>17600000</v>
      </c>
      <c r="H15" s="49" t="n">
        <v>17500000</v>
      </c>
      <c r="I15" s="49"/>
      <c r="J15" s="49"/>
      <c r="K15" s="49"/>
      <c r="L15" s="49"/>
      <c r="M15" s="49"/>
      <c r="N15" s="49"/>
    </row>
    <row r="16" customFormat="false" ht="15" hidden="false" customHeight="false" outlineLevel="0" collapsed="false">
      <c r="B16" s="57" t="s">
        <v>219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</row>
    <row r="17" customFormat="false" ht="15" hidden="false" customHeight="false" outlineLevel="0" collapsed="false">
      <c r="B17" s="65" t="s">
        <v>220</v>
      </c>
      <c r="C17" s="35" t="n">
        <f aca="false">SUM(C7:C16)</f>
        <v>177500000</v>
      </c>
      <c r="D17" s="35" t="n">
        <f aca="false">SUM(D7:D16)</f>
        <v>180590000</v>
      </c>
      <c r="E17" s="35" t="n">
        <f aca="false">SUM(E7:E16)</f>
        <v>183680000</v>
      </c>
      <c r="F17" s="35" t="n">
        <f aca="false">SUM(F7:F16)</f>
        <v>186770000</v>
      </c>
      <c r="G17" s="35" t="n">
        <f aca="false">SUM(G7:G16)</f>
        <v>189860000</v>
      </c>
      <c r="H17" s="35" t="n">
        <f aca="false">SUM(H7:H16)</f>
        <v>192950000</v>
      </c>
      <c r="I17" s="35" t="n">
        <f aca="false">SUM(I7:I16)</f>
        <v>0</v>
      </c>
      <c r="J17" s="35" t="n">
        <f aca="false">SUM(J7:J16)</f>
        <v>0</v>
      </c>
      <c r="K17" s="35" t="n">
        <f aca="false">SUM(K7:K16)</f>
        <v>0</v>
      </c>
      <c r="L17" s="35" t="n">
        <f aca="false">SUM(L7:L16)</f>
        <v>0</v>
      </c>
      <c r="M17" s="35" t="n">
        <f aca="false">SUM(M7:M16)</f>
        <v>0</v>
      </c>
      <c r="N17" s="35" t="n">
        <f aca="false">SUM(N7:N16)</f>
        <v>0</v>
      </c>
    </row>
    <row r="18" customFormat="false" ht="21" hidden="false" customHeight="true" outlineLevel="0" collapsed="false">
      <c r="B18" s="89" t="s">
        <v>221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</row>
    <row r="19" customFormat="false" ht="15" hidden="false" customHeight="false" outlineLevel="0" collapsed="false">
      <c r="B19" s="50" t="s">
        <v>222</v>
      </c>
      <c r="C19" s="49" t="n">
        <v>0</v>
      </c>
      <c r="D19" s="49" t="n">
        <v>0</v>
      </c>
      <c r="E19" s="49" t="n">
        <v>0</v>
      </c>
      <c r="F19" s="49" t="n">
        <v>0</v>
      </c>
      <c r="G19" s="49" t="n">
        <v>0</v>
      </c>
      <c r="H19" s="49" t="n">
        <v>0</v>
      </c>
      <c r="I19" s="49"/>
      <c r="J19" s="49"/>
      <c r="K19" s="49"/>
      <c r="L19" s="49"/>
      <c r="M19" s="49"/>
      <c r="N19" s="49"/>
    </row>
    <row r="20" customFormat="false" ht="15" hidden="false" customHeight="false" outlineLevel="0" collapsed="false">
      <c r="B20" s="57" t="s">
        <v>223</v>
      </c>
      <c r="C20" s="56" t="n">
        <v>80000000</v>
      </c>
      <c r="D20" s="56" t="n">
        <v>79400000</v>
      </c>
      <c r="E20" s="56" t="n">
        <v>78800000</v>
      </c>
      <c r="F20" s="56" t="n">
        <v>78200000</v>
      </c>
      <c r="G20" s="56" t="n">
        <v>77600000</v>
      </c>
      <c r="H20" s="56" t="n">
        <v>77000000</v>
      </c>
      <c r="I20" s="56"/>
      <c r="J20" s="56"/>
      <c r="K20" s="56"/>
      <c r="L20" s="56"/>
      <c r="M20" s="56"/>
      <c r="N20" s="56"/>
    </row>
    <row r="21" customFormat="false" ht="15" hidden="false" customHeight="false" outlineLevel="0" collapsed="false">
      <c r="B21" s="50" t="s">
        <v>224</v>
      </c>
      <c r="C21" s="49" t="n">
        <v>15000000</v>
      </c>
      <c r="D21" s="49" t="n">
        <v>14550000</v>
      </c>
      <c r="E21" s="49" t="n">
        <v>14100000</v>
      </c>
      <c r="F21" s="49" t="n">
        <v>13650000</v>
      </c>
      <c r="G21" s="49" t="n">
        <v>13200000</v>
      </c>
      <c r="H21" s="49" t="n">
        <v>12750000</v>
      </c>
      <c r="I21" s="49"/>
      <c r="J21" s="49"/>
      <c r="K21" s="49"/>
      <c r="L21" s="49"/>
      <c r="M21" s="49"/>
      <c r="N21" s="49"/>
    </row>
    <row r="22" customFormat="false" ht="15" hidden="false" customHeight="false" outlineLevel="0" collapsed="false">
      <c r="B22" s="57" t="s">
        <v>225</v>
      </c>
      <c r="C22" s="56" t="n">
        <v>5000000</v>
      </c>
      <c r="D22" s="56" t="n">
        <v>4700000</v>
      </c>
      <c r="E22" s="56" t="n">
        <v>4400000</v>
      </c>
      <c r="F22" s="56" t="n">
        <v>4100000</v>
      </c>
      <c r="G22" s="56" t="n">
        <v>3800000</v>
      </c>
      <c r="H22" s="56" t="n">
        <v>3500000</v>
      </c>
      <c r="I22" s="56"/>
      <c r="J22" s="56"/>
      <c r="K22" s="56"/>
      <c r="L22" s="56"/>
      <c r="M22" s="56"/>
      <c r="N22" s="56"/>
    </row>
    <row r="23" customFormat="false" ht="15" hidden="false" customHeight="false" outlineLevel="0" collapsed="false">
      <c r="B23" s="50" t="s">
        <v>226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customFormat="false" ht="15" hidden="false" customHeight="false" outlineLevel="0" collapsed="false">
      <c r="B24" s="57" t="s">
        <v>227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customFormat="false" ht="15" hidden="false" customHeight="false" outlineLevel="0" collapsed="false">
      <c r="B25" s="50" t="s">
        <v>228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customFormat="false" ht="15" hidden="false" customHeight="false" outlineLevel="0" collapsed="false">
      <c r="B26" s="57" t="s">
        <v>229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</row>
    <row r="27" customFormat="false" ht="15" hidden="false" customHeight="false" outlineLevel="0" collapsed="false">
      <c r="B27" s="65" t="s">
        <v>230</v>
      </c>
      <c r="C27" s="35" t="n">
        <f aca="false">SUM(C19:C26)</f>
        <v>100000000</v>
      </c>
      <c r="D27" s="35" t="n">
        <f aca="false">SUM(D19:D26)</f>
        <v>98650000</v>
      </c>
      <c r="E27" s="35" t="n">
        <f aca="false">SUM(E19:E26)</f>
        <v>97300000</v>
      </c>
      <c r="F27" s="35" t="n">
        <f aca="false">SUM(F19:F26)</f>
        <v>95950000</v>
      </c>
      <c r="G27" s="35" t="n">
        <f aca="false">SUM(G19:G26)</f>
        <v>94600000</v>
      </c>
      <c r="H27" s="35" t="n">
        <f aca="false">SUM(H19:H26)</f>
        <v>93250000</v>
      </c>
      <c r="I27" s="35" t="n">
        <f aca="false">SUM(I19:I26)</f>
        <v>0</v>
      </c>
      <c r="J27" s="35" t="n">
        <f aca="false">SUM(J19:J26)</f>
        <v>0</v>
      </c>
      <c r="K27" s="35" t="n">
        <f aca="false">SUM(K19:K26)</f>
        <v>0</v>
      </c>
      <c r="L27" s="35" t="n">
        <f aca="false">SUM(L19:L26)</f>
        <v>0</v>
      </c>
      <c r="M27" s="35" t="n">
        <f aca="false">SUM(M19:M26)</f>
        <v>0</v>
      </c>
      <c r="N27" s="35" t="n">
        <f aca="false">SUM(N19:N26)</f>
        <v>0</v>
      </c>
    </row>
    <row r="28" customFormat="false" ht="15" hidden="false" customHeight="false" outlineLevel="0" collapsed="false">
      <c r="B28" s="91" t="s">
        <v>231</v>
      </c>
      <c r="C28" s="92" t="n">
        <f aca="false">IF(COUNT(C7:C16)+COUNT(C19:C26)=0,"",C17-C27)</f>
        <v>77500000</v>
      </c>
      <c r="D28" s="92" t="n">
        <f aca="false">IF(COUNT(D7:D16)+COUNT(D19:D26)=0,"",D17-D27)</f>
        <v>81940000</v>
      </c>
      <c r="E28" s="92" t="n">
        <f aca="false">IF(COUNT(E7:E16)+COUNT(E19:E26)=0,"",E17-E27)</f>
        <v>86380000</v>
      </c>
      <c r="F28" s="92" t="n">
        <f aca="false">IF(COUNT(F7:F16)+COUNT(F19:F26)=0,"",F17-F27)</f>
        <v>90820000</v>
      </c>
      <c r="G28" s="92" t="n">
        <f aca="false">IF(COUNT(G7:G16)+COUNT(G19:G26)=0,"",G17-G27)</f>
        <v>95260000</v>
      </c>
      <c r="H28" s="92" t="n">
        <f aca="false">IF(COUNT(H7:H16)+COUNT(H19:H26)=0,"",H17-H27)</f>
        <v>99700000</v>
      </c>
      <c r="I28" s="92" t="str">
        <f aca="false">IF(COUNT(I7:I16)+COUNT(I19:I26)=0,"",I17-I27)</f>
        <v/>
      </c>
      <c r="J28" s="92" t="str">
        <f aca="false">IF(COUNT(J7:J16)+COUNT(J19:J26)=0,"",J17-J27)</f>
        <v/>
      </c>
      <c r="K28" s="92" t="str">
        <f aca="false">IF(COUNT(K7:K16)+COUNT(K19:K26)=0,"",K17-K27)</f>
        <v/>
      </c>
      <c r="L28" s="92" t="str">
        <f aca="false">IF(COUNT(L7:L16)+COUNT(L19:L26)=0,"",L17-L27)</f>
        <v/>
      </c>
      <c r="M28" s="92" t="str">
        <f aca="false">IF(COUNT(M7:M16)+COUNT(M19:M26)=0,"",M17-M27)</f>
        <v/>
      </c>
      <c r="N28" s="92" t="str">
        <f aca="false">IF(COUNT(N7:N16)+COUNT(N19:N26)=0,"",N17-N27)</f>
        <v/>
      </c>
    </row>
  </sheetData>
  <mergeCells count="2">
    <mergeCell ref="C3:D3"/>
    <mergeCell ref="E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9B6E"/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</cols>
  <sheetData>
    <row r="2" customFormat="false" ht="30.55" hidden="false" customHeight="false" outlineLevel="0" collapsed="false">
      <c r="B2" s="23" t="s">
        <v>232</v>
      </c>
    </row>
    <row r="3" customFormat="false" ht="16.4" hidden="false" customHeight="false" outlineLevel="0" collapsed="false">
      <c r="B3" s="10" t="s">
        <v>233</v>
      </c>
      <c r="C3" s="10"/>
      <c r="D3" s="10"/>
      <c r="E3" s="10"/>
      <c r="F3" s="10"/>
      <c r="G3" s="10"/>
      <c r="H3" s="10"/>
      <c r="I3" s="10"/>
    </row>
    <row r="5" customFormat="false" ht="15" hidden="false" customHeight="false" outlineLevel="0" collapsed="false">
      <c r="B5" s="46" t="s">
        <v>23</v>
      </c>
      <c r="C5" s="46" t="s">
        <v>115</v>
      </c>
      <c r="D5" s="46" t="s">
        <v>117</v>
      </c>
      <c r="E5" s="46" t="s">
        <v>234</v>
      </c>
      <c r="F5" s="46" t="s">
        <v>235</v>
      </c>
      <c r="G5" s="46" t="s">
        <v>32</v>
      </c>
      <c r="H5" s="46" t="s">
        <v>236</v>
      </c>
      <c r="I5" s="46" t="s">
        <v>237</v>
      </c>
    </row>
    <row r="6" customFormat="false" ht="15" hidden="false" customHeight="false" outlineLevel="0" collapsed="false">
      <c r="B6" s="48" t="s">
        <v>238</v>
      </c>
      <c r="C6" s="93" t="s">
        <v>103</v>
      </c>
      <c r="D6" s="49" t="n">
        <v>600000</v>
      </c>
      <c r="E6" s="93" t="s">
        <v>82</v>
      </c>
      <c r="F6" s="29" t="n">
        <f aca="false">IF(D6="","",IF(E6="연",D6/12,D6))</f>
        <v>600000</v>
      </c>
      <c r="G6" s="78" t="s">
        <v>239</v>
      </c>
      <c r="H6" s="93" t="s">
        <v>240</v>
      </c>
      <c r="I6" s="93" t="s">
        <v>241</v>
      </c>
    </row>
    <row r="7" customFormat="false" ht="15" hidden="false" customHeight="false" outlineLevel="0" collapsed="false">
      <c r="B7" s="55" t="s">
        <v>35</v>
      </c>
      <c r="C7" s="94" t="s">
        <v>103</v>
      </c>
      <c r="D7" s="56" t="n">
        <v>150000</v>
      </c>
      <c r="E7" s="94" t="s">
        <v>82</v>
      </c>
      <c r="F7" s="32" t="n">
        <f aca="false">IF(D7="","",IF(E7="연",D7/12,D7))</f>
        <v>150000</v>
      </c>
      <c r="G7" s="81" t="s">
        <v>242</v>
      </c>
      <c r="H7" s="94" t="s">
        <v>240</v>
      </c>
      <c r="I7" s="94" t="s">
        <v>241</v>
      </c>
    </row>
    <row r="8" customFormat="false" ht="15" hidden="false" customHeight="false" outlineLevel="0" collapsed="false">
      <c r="B8" s="48" t="s">
        <v>243</v>
      </c>
      <c r="C8" s="93" t="s">
        <v>103</v>
      </c>
      <c r="D8" s="49" t="n">
        <v>66000</v>
      </c>
      <c r="E8" s="93" t="s">
        <v>82</v>
      </c>
      <c r="F8" s="29" t="n">
        <f aca="false">IF(D8="","",IF(E8="연",D8/12,D8))</f>
        <v>66000</v>
      </c>
      <c r="G8" s="78" t="s">
        <v>244</v>
      </c>
      <c r="H8" s="93" t="s">
        <v>245</v>
      </c>
      <c r="I8" s="93" t="s">
        <v>241</v>
      </c>
    </row>
    <row r="9" customFormat="false" ht="15" hidden="false" customHeight="false" outlineLevel="0" collapsed="false">
      <c r="B9" s="55" t="s">
        <v>246</v>
      </c>
      <c r="C9" s="94" t="s">
        <v>103</v>
      </c>
      <c r="D9" s="56" t="n">
        <v>22000</v>
      </c>
      <c r="E9" s="94" t="s">
        <v>82</v>
      </c>
      <c r="F9" s="32" t="n">
        <f aca="false">IF(D9="","",IF(E9="연",D9/12,D9))</f>
        <v>22000</v>
      </c>
      <c r="G9" s="81" t="s">
        <v>244</v>
      </c>
      <c r="H9" s="94" t="s">
        <v>245</v>
      </c>
      <c r="I9" s="94" t="s">
        <v>241</v>
      </c>
    </row>
    <row r="10" customFormat="false" ht="15" hidden="false" customHeight="false" outlineLevel="0" collapsed="false">
      <c r="B10" s="48" t="s">
        <v>247</v>
      </c>
      <c r="C10" s="93" t="s">
        <v>248</v>
      </c>
      <c r="D10" s="49" t="n">
        <v>45000</v>
      </c>
      <c r="E10" s="93" t="s">
        <v>82</v>
      </c>
      <c r="F10" s="29" t="n">
        <f aca="false">IF(D10="","",IF(E10="연",D10/12,D10))</f>
        <v>45000</v>
      </c>
      <c r="G10" s="78" t="s">
        <v>249</v>
      </c>
      <c r="H10" s="93" t="s">
        <v>240</v>
      </c>
      <c r="I10" s="93" t="s">
        <v>241</v>
      </c>
    </row>
    <row r="11" customFormat="false" ht="15" hidden="false" customHeight="false" outlineLevel="0" collapsed="false">
      <c r="B11" s="55" t="s">
        <v>250</v>
      </c>
      <c r="C11" s="94" t="s">
        <v>248</v>
      </c>
      <c r="D11" s="56" t="n">
        <v>960000</v>
      </c>
      <c r="E11" s="94" t="s">
        <v>251</v>
      </c>
      <c r="F11" s="32" t="n">
        <f aca="false">IF(D11="","",IF(E11="연",D11/12,D11))</f>
        <v>80000</v>
      </c>
      <c r="G11" s="81" t="s">
        <v>252</v>
      </c>
      <c r="H11" s="94" t="s">
        <v>245</v>
      </c>
      <c r="I11" s="94" t="s">
        <v>253</v>
      </c>
    </row>
    <row r="12" customFormat="false" ht="15" hidden="false" customHeight="false" outlineLevel="0" collapsed="false">
      <c r="B12" s="48" t="s">
        <v>254</v>
      </c>
      <c r="C12" s="93" t="s">
        <v>255</v>
      </c>
      <c r="D12" s="49" t="n">
        <v>17000</v>
      </c>
      <c r="E12" s="93" t="s">
        <v>82</v>
      </c>
      <c r="F12" s="29" t="n">
        <f aca="false">IF(D12="","",IF(E12="연",D12/12,D12))</f>
        <v>17000</v>
      </c>
      <c r="G12" s="78" t="s">
        <v>256</v>
      </c>
      <c r="H12" s="93" t="s">
        <v>245</v>
      </c>
      <c r="I12" s="93" t="s">
        <v>241</v>
      </c>
    </row>
    <row r="13" customFormat="false" ht="15" hidden="false" customHeight="false" outlineLevel="0" collapsed="false">
      <c r="B13" s="55" t="s">
        <v>257</v>
      </c>
      <c r="C13" s="94" t="s">
        <v>255</v>
      </c>
      <c r="D13" s="56" t="n">
        <v>14900</v>
      </c>
      <c r="E13" s="94" t="s">
        <v>82</v>
      </c>
      <c r="F13" s="32" t="n">
        <f aca="false">IF(D13="","",IF(E13="연",D13/12,D13))</f>
        <v>14900</v>
      </c>
      <c r="G13" s="81" t="s">
        <v>256</v>
      </c>
      <c r="H13" s="94" t="s">
        <v>245</v>
      </c>
      <c r="I13" s="94" t="s">
        <v>241</v>
      </c>
    </row>
    <row r="14" customFormat="false" ht="15" hidden="false" customHeight="false" outlineLevel="0" collapsed="false">
      <c r="B14" s="48" t="s">
        <v>258</v>
      </c>
      <c r="C14" s="93" t="s">
        <v>255</v>
      </c>
      <c r="D14" s="49" t="n">
        <v>7890</v>
      </c>
      <c r="E14" s="93" t="s">
        <v>82</v>
      </c>
      <c r="F14" s="29" t="n">
        <f aca="false">IF(D14="","",IF(E14="연",D14/12,D14))</f>
        <v>7890</v>
      </c>
      <c r="G14" s="78" t="s">
        <v>259</v>
      </c>
      <c r="H14" s="93" t="s">
        <v>245</v>
      </c>
      <c r="I14" s="93" t="s">
        <v>241</v>
      </c>
    </row>
    <row r="15" customFormat="false" ht="15" hidden="false" customHeight="false" outlineLevel="0" collapsed="false">
      <c r="B15" s="55" t="s">
        <v>260</v>
      </c>
      <c r="C15" s="94" t="s">
        <v>255</v>
      </c>
      <c r="D15" s="56" t="n">
        <v>2400</v>
      </c>
      <c r="E15" s="94" t="s">
        <v>82</v>
      </c>
      <c r="F15" s="32" t="n">
        <f aca="false">IF(D15="","",IF(E15="연",D15/12,D15))</f>
        <v>2400</v>
      </c>
      <c r="G15" s="81" t="s">
        <v>259</v>
      </c>
      <c r="H15" s="94" t="s">
        <v>245</v>
      </c>
      <c r="I15" s="94" t="s">
        <v>241</v>
      </c>
    </row>
    <row r="16" customFormat="false" ht="15" hidden="false" customHeight="false" outlineLevel="0" collapsed="false">
      <c r="B16" s="48" t="s">
        <v>261</v>
      </c>
      <c r="C16" s="93" t="s">
        <v>255</v>
      </c>
      <c r="D16" s="49" t="n">
        <v>69000</v>
      </c>
      <c r="E16" s="93" t="s">
        <v>82</v>
      </c>
      <c r="F16" s="29" t="n">
        <f aca="false">IF(D16="","",IF(E16="연",D16/12,D16))</f>
        <v>69000</v>
      </c>
      <c r="G16" s="78" t="s">
        <v>249</v>
      </c>
      <c r="H16" s="93" t="s">
        <v>245</v>
      </c>
      <c r="I16" s="93" t="s">
        <v>241</v>
      </c>
    </row>
    <row r="17" customFormat="false" ht="15" hidden="false" customHeight="false" outlineLevel="0" collapsed="false">
      <c r="B17" s="55" t="s">
        <v>262</v>
      </c>
      <c r="C17" s="94" t="s">
        <v>255</v>
      </c>
      <c r="D17" s="56" t="n">
        <v>9900</v>
      </c>
      <c r="E17" s="94" t="s">
        <v>82</v>
      </c>
      <c r="F17" s="32" t="n">
        <f aca="false">IF(D17="","",IF(E17="연",D17/12,D17))</f>
        <v>9900</v>
      </c>
      <c r="G17" s="81" t="s">
        <v>263</v>
      </c>
      <c r="H17" s="94" t="s">
        <v>245</v>
      </c>
      <c r="I17" s="94" t="s">
        <v>241</v>
      </c>
    </row>
    <row r="18" customFormat="false" ht="15" hidden="false" customHeight="false" outlineLevel="0" collapsed="false">
      <c r="B18" s="48"/>
      <c r="C18" s="93"/>
      <c r="D18" s="49"/>
      <c r="E18" s="93"/>
      <c r="F18" s="29" t="str">
        <f aca="false">IF(D18="","",IF(E18="연",D18/12,D18))</f>
        <v/>
      </c>
      <c r="G18" s="78"/>
      <c r="H18" s="78"/>
      <c r="I18" s="93"/>
    </row>
    <row r="19" customFormat="false" ht="15" hidden="false" customHeight="false" outlineLevel="0" collapsed="false">
      <c r="B19" s="55"/>
      <c r="C19" s="94"/>
      <c r="D19" s="56"/>
      <c r="E19" s="94"/>
      <c r="F19" s="32" t="str">
        <f aca="false">IF(D19="","",IF(E19="연",D19/12,D19))</f>
        <v/>
      </c>
      <c r="G19" s="81"/>
      <c r="H19" s="81"/>
      <c r="I19" s="94"/>
    </row>
    <row r="20" customFormat="false" ht="15" hidden="false" customHeight="false" outlineLevel="0" collapsed="false">
      <c r="B20" s="48"/>
      <c r="C20" s="93"/>
      <c r="D20" s="49"/>
      <c r="E20" s="93"/>
      <c r="F20" s="29" t="str">
        <f aca="false">IF(D20="","",IF(E20="연",D20/12,D20))</f>
        <v/>
      </c>
      <c r="G20" s="78"/>
      <c r="H20" s="78"/>
      <c r="I20" s="93"/>
    </row>
    <row r="21" customFormat="false" ht="15" hidden="false" customHeight="false" outlineLevel="0" collapsed="false">
      <c r="B21" s="55"/>
      <c r="C21" s="94"/>
      <c r="D21" s="56"/>
      <c r="E21" s="94"/>
      <c r="F21" s="32" t="str">
        <f aca="false">IF(D21="","",IF(E21="연",D21/12,D21))</f>
        <v/>
      </c>
      <c r="G21" s="81"/>
      <c r="H21" s="81"/>
      <c r="I21" s="94"/>
    </row>
    <row r="22" customFormat="false" ht="15" hidden="false" customHeight="false" outlineLevel="0" collapsed="false">
      <c r="B22" s="48"/>
      <c r="C22" s="93"/>
      <c r="D22" s="49"/>
      <c r="E22" s="93"/>
      <c r="F22" s="29" t="str">
        <f aca="false">IF(D22="","",IF(E22="연",D22/12,D22))</f>
        <v/>
      </c>
      <c r="G22" s="78"/>
      <c r="H22" s="78"/>
      <c r="I22" s="93"/>
    </row>
    <row r="23" customFormat="false" ht="15" hidden="false" customHeight="false" outlineLevel="0" collapsed="false">
      <c r="B23" s="55"/>
      <c r="C23" s="94"/>
      <c r="D23" s="56"/>
      <c r="E23" s="94"/>
      <c r="F23" s="32" t="str">
        <f aca="false">IF(D23="","",IF(E23="연",D23/12,D23))</f>
        <v/>
      </c>
      <c r="G23" s="81"/>
      <c r="H23" s="81"/>
      <c r="I23" s="94"/>
    </row>
    <row r="24" customFormat="false" ht="15" hidden="false" customHeight="false" outlineLevel="0" collapsed="false">
      <c r="B24" s="48"/>
      <c r="C24" s="93"/>
      <c r="D24" s="49"/>
      <c r="E24" s="93"/>
      <c r="F24" s="29" t="str">
        <f aca="false">IF(D24="","",IF(E24="연",D24/12,D24))</f>
        <v/>
      </c>
      <c r="G24" s="78"/>
      <c r="H24" s="78"/>
      <c r="I24" s="93"/>
    </row>
    <row r="25" customFormat="false" ht="15" hidden="false" customHeight="false" outlineLevel="0" collapsed="false">
      <c r="B25" s="55"/>
      <c r="C25" s="94"/>
      <c r="D25" s="56"/>
      <c r="E25" s="94"/>
      <c r="F25" s="32" t="str">
        <f aca="false">IF(D25="","",IF(E25="연",D25/12,D25))</f>
        <v/>
      </c>
      <c r="G25" s="81"/>
      <c r="H25" s="81"/>
      <c r="I25" s="94"/>
    </row>
    <row r="26" customFormat="false" ht="15" hidden="false" customHeight="false" outlineLevel="0" collapsed="false">
      <c r="B26" s="65" t="s">
        <v>185</v>
      </c>
      <c r="C26" s="66"/>
      <c r="D26" s="66"/>
      <c r="E26" s="66"/>
      <c r="F26" s="35" t="n">
        <f aca="false">SUM(F6:F25)</f>
        <v>1084090</v>
      </c>
      <c r="G26" s="66"/>
      <c r="H26" s="66"/>
      <c r="I26" s="66"/>
    </row>
    <row r="27" customFormat="false" ht="15" hidden="false" customHeight="false" outlineLevel="0" collapsed="false">
      <c r="B27" s="65" t="s">
        <v>264</v>
      </c>
      <c r="C27" s="66"/>
      <c r="D27" s="66"/>
      <c r="E27" s="66"/>
      <c r="F27" s="35" t="n">
        <f aca="false">F26*12</f>
        <v>13009080</v>
      </c>
      <c r="G27" s="66"/>
      <c r="H27" s="66"/>
      <c r="I27" s="66"/>
    </row>
    <row r="29" customFormat="false" ht="15" hidden="false" customHeight="false" outlineLevel="0" collapsed="false">
      <c r="B29" s="95" t="s">
        <v>265</v>
      </c>
    </row>
    <row r="30" customFormat="false" ht="15" hidden="false" customHeight="false" outlineLevel="0" collapsed="false">
      <c r="B30" s="50" t="s">
        <v>103</v>
      </c>
      <c r="C30" s="29" t="n">
        <f aca="false">SUMIF($C$6:$C$25,B30,$F$6:$F$25)</f>
        <v>838000</v>
      </c>
    </row>
    <row r="31" customFormat="false" ht="15" hidden="false" customHeight="false" outlineLevel="0" collapsed="false">
      <c r="B31" s="57" t="s">
        <v>248</v>
      </c>
      <c r="C31" s="32" t="n">
        <f aca="false">SUMIF($C$6:$C$25,B31,$F$6:$F$25)</f>
        <v>125000</v>
      </c>
    </row>
    <row r="32" customFormat="false" ht="15" hidden="false" customHeight="false" outlineLevel="0" collapsed="false">
      <c r="B32" s="50" t="s">
        <v>255</v>
      </c>
      <c r="C32" s="29" t="n">
        <f aca="false">SUMIF($C$6:$C$25,B32,$F$6:$F$25)</f>
        <v>121090</v>
      </c>
    </row>
    <row r="33" customFormat="false" ht="15" hidden="false" customHeight="false" outlineLevel="0" collapsed="false">
      <c r="B33" s="57" t="s">
        <v>66</v>
      </c>
      <c r="C33" s="32" t="n">
        <f aca="false">SUMIF($C$6:$C$25,B33,$F$6:$F$25)</f>
        <v>0</v>
      </c>
    </row>
  </sheetData>
  <mergeCells count="1">
    <mergeCell ref="B3:I3"/>
  </mergeCells>
  <dataValidations count="3">
    <dataValidation allowBlank="true" errorStyle="stop" operator="between" showDropDown="false" showErrorMessage="false" showInputMessage="false" sqref="C6:C25" type="list">
      <formula1>"고정지출,보험,구독,기타"</formula1>
      <formula2>0</formula2>
    </dataValidation>
    <dataValidation allowBlank="true" errorStyle="stop" operator="between" showDropDown="false" showErrorMessage="false" showInputMessage="false" sqref="E6:E25" type="list">
      <formula1>"월,연"</formula1>
      <formula2>0</formula2>
    </dataValidation>
    <dataValidation allowBlank="true" errorStyle="stop" operator="between" showDropDown="false" showErrorMessage="false" showInputMessage="false" sqref="I6:I25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2026-07-01T00:42:31Z</dcterms:created>
  <dc:creator>openpyxl</dc:creator>
  <dc:description/>
  <dc:language>en-US</dc:language>
  <cp:lastModifiedBy/>
  <dcterms:modified xsi:type="dcterms:W3CDTF">2026-07-01T00:42:34Z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